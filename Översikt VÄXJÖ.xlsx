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46196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</v>
      </c>
      <c r="C3" s="1" t="n">
        <v>46196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4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Stubbspretmossa
Västlig hakmossa
Vågbandad barkbock
Gröngöling
Kråka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</row>
    <row r="4" ht="15" customHeight="1">
      <c r="A4" t="inlineStr">
        <is>
          <t>A 27315-2025</t>
        </is>
      </c>
      <c r="B4" s="1" t="n">
        <v>45812</v>
      </c>
      <c r="C4" s="1" t="n">
        <v>46196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Duvhök
Tallriska
Talltita
Blåmossa
Spillkråka
Tjäder
Kungsfågel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46196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Motaggsvamp
Talltita
Tjäder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46196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33208-2023</t>
        </is>
      </c>
      <c r="B7" s="1" t="n">
        <v>45127</v>
      </c>
      <c r="C7" s="1" t="n">
        <v>46196</v>
      </c>
      <c r="D7" t="inlineStr">
        <is>
          <t>KRONOBERGS LÄN</t>
        </is>
      </c>
      <c r="E7" t="inlineStr">
        <is>
          <t>VÄXJÖ</t>
        </is>
      </c>
      <c r="G7" t="n">
        <v>1.5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Björktrast
Ladusvala
Skrattmås
Kråka
Röd glada
Svartvit flugsnappare
Trana</t>
        </is>
      </c>
      <c r="S7">
        <f>HYPERLINK("https://klasma.github.io/Logging_0780/artfynd/A 33208-2023 artfynd.xlsx", "A 33208-2023")</f>
        <v/>
      </c>
      <c r="T7">
        <f>HYPERLINK("https://klasma.github.io/Logging_0780/kartor/A 33208-2023 karta.png", "A 33208-2023")</f>
        <v/>
      </c>
      <c r="V7">
        <f>HYPERLINK("https://klasma.github.io/Logging_0780/klagomål/A 33208-2023 FSC-klagomål.docx", "A 33208-2023")</f>
        <v/>
      </c>
      <c r="W7">
        <f>HYPERLINK("https://klasma.github.io/Logging_0780/klagomålsmail/A 33208-2023 FSC-klagomål mail.docx", "A 33208-2023")</f>
        <v/>
      </c>
      <c r="X7">
        <f>HYPERLINK("https://klasma.github.io/Logging_0780/tillsyn/A 33208-2023 tillsynsbegäran.docx", "A 33208-2023")</f>
        <v/>
      </c>
      <c r="Y7">
        <f>HYPERLINK("https://klasma.github.io/Logging_0780/tillsynsmail/A 33208-2023 tillsynsbegäran mail.docx", "A 33208-2023")</f>
        <v/>
      </c>
      <c r="Z7">
        <f>HYPERLINK("https://klasma.github.io/Logging_0780/fåglar/A 33208-2023 prioriterade fågelarter.docx", "A 33208-2023")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46196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46196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5027-2023</t>
        </is>
      </c>
      <c r="B11" s="1" t="n">
        <v>44958</v>
      </c>
      <c r="C11" s="1" t="n">
        <v>46196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Göktyta
Kråka
Kungsfågel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46196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60471-2025</t>
        </is>
      </c>
      <c r="B13" s="1" t="n">
        <v>45995</v>
      </c>
      <c r="C13" s="1" t="n">
        <v>46196</v>
      </c>
      <c r="D13" t="inlineStr">
        <is>
          <t>KRONOBERGS LÄN</t>
        </is>
      </c>
      <c r="E13" t="inlineStr">
        <is>
          <t>VÄXJÖ</t>
        </is>
      </c>
      <c r="G13" t="n">
        <v>5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Scharlakansskål
Grönsiska
Ärtsångare</t>
        </is>
      </c>
      <c r="S13">
        <f>HYPERLINK("https://klasma.github.io/Logging_0780/artfynd/A 60471-2025 artfynd.xlsx", "A 60471-2025")</f>
        <v/>
      </c>
      <c r="T13">
        <f>HYPERLINK("https://klasma.github.io/Logging_0780/kartor/A 60471-2025 karta.png", "A 60471-2025")</f>
        <v/>
      </c>
      <c r="V13">
        <f>HYPERLINK("https://klasma.github.io/Logging_0780/klagomål/A 60471-2025 FSC-klagomål.docx", "A 60471-2025")</f>
        <v/>
      </c>
      <c r="W13">
        <f>HYPERLINK("https://klasma.github.io/Logging_0780/klagomålsmail/A 60471-2025 FSC-klagomål mail.docx", "A 60471-2025")</f>
        <v/>
      </c>
      <c r="X13">
        <f>HYPERLINK("https://klasma.github.io/Logging_0780/tillsyn/A 60471-2025 tillsynsbegäran.docx", "A 60471-2025")</f>
        <v/>
      </c>
      <c r="Y13">
        <f>HYPERLINK("https://klasma.github.io/Logging_0780/tillsynsmail/A 60471-2025 tillsynsbegäran mail.docx", "A 60471-2025")</f>
        <v/>
      </c>
      <c r="Z13">
        <f>HYPERLINK("https://klasma.github.io/Logging_0780/fåglar/A 60471-2025 prioriterade fågelarter.docx", "A 60471-2025")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46196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30317-2024</t>
        </is>
      </c>
      <c r="B15" s="1" t="n">
        <v>45490</v>
      </c>
      <c r="C15" s="1" t="n">
        <v>46196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2.7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Järnsparv
Scharlakansskål
Lopplummer (aggregat)
Revlummer</t>
        </is>
      </c>
      <c r="S15">
        <f>HYPERLINK("https://klasma.github.io/Logging_0780/artfynd/A 30317-2024 artfynd.xlsx", "A 30317-2024")</f>
        <v/>
      </c>
      <c r="T15">
        <f>HYPERLINK("https://klasma.github.io/Logging_0780/kartor/A 30317-2024 karta.png", "A 30317-2024")</f>
        <v/>
      </c>
      <c r="V15">
        <f>HYPERLINK("https://klasma.github.io/Logging_0780/klagomål/A 30317-2024 FSC-klagomål.docx", "A 30317-2024")</f>
        <v/>
      </c>
      <c r="W15">
        <f>HYPERLINK("https://klasma.github.io/Logging_0780/klagomålsmail/A 30317-2024 FSC-klagomål mail.docx", "A 30317-2024")</f>
        <v/>
      </c>
      <c r="X15">
        <f>HYPERLINK("https://klasma.github.io/Logging_0780/tillsyn/A 30317-2024 tillsynsbegäran.docx", "A 30317-2024")</f>
        <v/>
      </c>
      <c r="Y15">
        <f>HYPERLINK("https://klasma.github.io/Logging_0780/tillsynsmail/A 30317-2024 tillsynsbegäran mail.docx", "A 30317-2024")</f>
        <v/>
      </c>
      <c r="Z15">
        <f>HYPERLINK("https://klasma.github.io/Logging_0780/fåglar/A 30317-2024 prioriterade fågelarter.docx", "A 30317-2024")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46196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46196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40266-2024</t>
        </is>
      </c>
      <c r="B19" s="1" t="n">
        <v>45554</v>
      </c>
      <c r="C19" s="1" t="n">
        <v>46196</v>
      </c>
      <c r="D19" t="inlineStr">
        <is>
          <t>KRONOBERGS LÄN</t>
        </is>
      </c>
      <c r="E19" t="inlineStr">
        <is>
          <t>VÄXJÖ</t>
        </is>
      </c>
      <c r="G19" t="n">
        <v>0.5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Vitfläckig guldvinge</t>
        </is>
      </c>
      <c r="S19">
        <f>HYPERLINK("https://klasma.github.io/Logging_0780/artfynd/A 40266-2024 artfynd.xlsx", "A 40266-2024")</f>
        <v/>
      </c>
      <c r="T19">
        <f>HYPERLINK("https://klasma.github.io/Logging_0780/kartor/A 40266-2024 karta.png", "A 40266-2024")</f>
        <v/>
      </c>
      <c r="V19">
        <f>HYPERLINK("https://klasma.github.io/Logging_0780/klagomål/A 40266-2024 FSC-klagomål.docx", "A 40266-2024")</f>
        <v/>
      </c>
      <c r="W19">
        <f>HYPERLINK("https://klasma.github.io/Logging_0780/klagomålsmail/A 40266-2024 FSC-klagomål mail.docx", "A 40266-2024")</f>
        <v/>
      </c>
      <c r="X19">
        <f>HYPERLINK("https://klasma.github.io/Logging_0780/tillsyn/A 40266-2024 tillsynsbegäran.docx", "A 40266-2024")</f>
        <v/>
      </c>
      <c r="Y19">
        <f>HYPERLINK("https://klasma.github.io/Logging_0780/tillsynsmail/A 40266-2024 tillsynsbegäran mail.docx", "A 40266-2024")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46196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23153-2026</t>
        </is>
      </c>
      <c r="B21" s="1" t="n">
        <v>46161</v>
      </c>
      <c r="C21" s="1" t="n">
        <v>46196</v>
      </c>
      <c r="D21" t="inlineStr">
        <is>
          <t>KRONOBERGS LÄN</t>
        </is>
      </c>
      <c r="E21" t="inlineStr">
        <is>
          <t>VÄXJÖ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Tjäder</t>
        </is>
      </c>
      <c r="S21">
        <f>HYPERLINK("https://klasma.github.io/Logging_0780/artfynd/A 23153-2026 artfynd.xlsx", "A 23153-2026")</f>
        <v/>
      </c>
      <c r="T21">
        <f>HYPERLINK("https://klasma.github.io/Logging_0780/kartor/A 23153-2026 karta.png", "A 23153-2026")</f>
        <v/>
      </c>
      <c r="V21">
        <f>HYPERLINK("https://klasma.github.io/Logging_0780/klagomål/A 23153-2026 FSC-klagomål.docx", "A 23153-2026")</f>
        <v/>
      </c>
      <c r="W21">
        <f>HYPERLINK("https://klasma.github.io/Logging_0780/klagomålsmail/A 23153-2026 FSC-klagomål mail.docx", "A 23153-2026")</f>
        <v/>
      </c>
      <c r="X21">
        <f>HYPERLINK("https://klasma.github.io/Logging_0780/tillsyn/A 23153-2026 tillsynsbegäran.docx", "A 23153-2026")</f>
        <v/>
      </c>
      <c r="Y21">
        <f>HYPERLINK("https://klasma.github.io/Logging_0780/tillsynsmail/A 23153-2026 tillsynsbegäran mail.docx", "A 23153-2026")</f>
        <v/>
      </c>
      <c r="Z21">
        <f>HYPERLINK("https://klasma.github.io/Logging_0780/fåglar/A 23153-2026 prioriterade fågelarter.docx", "A 23153-2026")</f>
        <v/>
      </c>
    </row>
    <row r="22" ht="15" customHeight="1">
      <c r="A22" t="inlineStr">
        <is>
          <t>A 37016-2025</t>
        </is>
      </c>
      <c r="B22" s="1" t="n">
        <v>45874</v>
      </c>
      <c r="C22" s="1" t="n">
        <v>46196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Vitfläckig guldvinge
Vanlig snok</t>
        </is>
      </c>
      <c r="S22">
        <f>HYPERLINK("https://klasma.github.io/Logging_0780/artfynd/A 37016-2025 artfynd.xlsx", "A 37016-2025")</f>
        <v/>
      </c>
      <c r="T22">
        <f>HYPERLINK("https://klasma.github.io/Logging_0780/kartor/A 37016-2025 karta.png", "A 37016-2025")</f>
        <v/>
      </c>
      <c r="V22">
        <f>HYPERLINK("https://klasma.github.io/Logging_0780/klagomål/A 37016-2025 FSC-klagomål.docx", "A 37016-2025")</f>
        <v/>
      </c>
      <c r="W22">
        <f>HYPERLINK("https://klasma.github.io/Logging_0780/klagomålsmail/A 37016-2025 FSC-klagomål mail.docx", "A 37016-2025")</f>
        <v/>
      </c>
      <c r="X22">
        <f>HYPERLINK("https://klasma.github.io/Logging_0780/tillsyn/A 37016-2025 tillsynsbegäran.docx", "A 37016-2025")</f>
        <v/>
      </c>
      <c r="Y22">
        <f>HYPERLINK("https://klasma.github.io/Logging_0780/tillsynsmail/A 37016-2025 tillsynsbegäran mail.docx", "A 37016-2025")</f>
        <v/>
      </c>
    </row>
    <row r="23" ht="15" customHeight="1">
      <c r="A23" t="inlineStr">
        <is>
          <t>A 21333-2026</t>
        </is>
      </c>
      <c r="B23" s="1" t="n">
        <v>46147</v>
      </c>
      <c r="C23" s="1" t="n">
        <v>46196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Vårstarr</t>
        </is>
      </c>
      <c r="S23">
        <f>HYPERLINK("https://klasma.github.io/Logging_0780/artfynd/A 21333-2026 artfynd.xlsx", "A 21333-2026")</f>
        <v/>
      </c>
      <c r="T23">
        <f>HYPERLINK("https://klasma.github.io/Logging_0780/kartor/A 21333-2026 karta.png", "A 21333-2026")</f>
        <v/>
      </c>
      <c r="V23">
        <f>HYPERLINK("https://klasma.github.io/Logging_0780/klagomål/A 21333-2026 FSC-klagomål.docx", "A 21333-2026")</f>
        <v/>
      </c>
      <c r="W23">
        <f>HYPERLINK("https://klasma.github.io/Logging_0780/klagomålsmail/A 21333-2026 FSC-klagomål mail.docx", "A 21333-2026")</f>
        <v/>
      </c>
      <c r="X23">
        <f>HYPERLINK("https://klasma.github.io/Logging_0780/tillsyn/A 21333-2026 tillsynsbegäran.docx", "A 21333-2026")</f>
        <v/>
      </c>
      <c r="Y23">
        <f>HYPERLINK("https://klasma.github.io/Logging_0780/tillsynsmail/A 21333-2026 tillsynsbegäran mail.docx", "A 21333-2026")</f>
        <v/>
      </c>
    </row>
    <row r="24" ht="15" customHeight="1">
      <c r="A24" t="inlineStr">
        <is>
          <t>A 44923-2023</t>
        </is>
      </c>
      <c r="B24" s="1" t="n">
        <v>45190</v>
      </c>
      <c r="C24" s="1" t="n">
        <v>46196</v>
      </c>
      <c r="D24" t="inlineStr">
        <is>
          <t>KRONOBERGS LÄN</t>
        </is>
      </c>
      <c r="E24" t="inlineStr">
        <is>
          <t>VÄXJÖ</t>
        </is>
      </c>
      <c r="G24" t="n">
        <v>2.3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Åkerkulla</t>
        </is>
      </c>
      <c r="S24">
        <f>HYPERLINK("https://klasma.github.io/Logging_0780/artfynd/A 44923-2023 artfynd.xlsx", "A 44923-2023")</f>
        <v/>
      </c>
      <c r="T24">
        <f>HYPERLINK("https://klasma.github.io/Logging_0780/kartor/A 44923-2023 karta.png", "A 44923-2023")</f>
        <v/>
      </c>
      <c r="V24">
        <f>HYPERLINK("https://klasma.github.io/Logging_0780/klagomål/A 44923-2023 FSC-klagomål.docx", "A 44923-2023")</f>
        <v/>
      </c>
      <c r="W24">
        <f>HYPERLINK("https://klasma.github.io/Logging_0780/klagomålsmail/A 44923-2023 FSC-klagomål mail.docx", "A 44923-2023")</f>
        <v/>
      </c>
      <c r="X24">
        <f>HYPERLINK("https://klasma.github.io/Logging_0780/tillsyn/A 44923-2023 tillsynsbegäran.docx", "A 44923-2023")</f>
        <v/>
      </c>
      <c r="Y24">
        <f>HYPERLINK("https://klasma.github.io/Logging_0780/tillsynsmail/A 44923-2023 tillsynsbegäran mail.docx", "A 44923-2023")</f>
        <v/>
      </c>
    </row>
    <row r="25" ht="15" customHeight="1">
      <c r="A25" t="inlineStr">
        <is>
          <t>A 4684-2025</t>
        </is>
      </c>
      <c r="B25" s="1" t="n">
        <v>45687</v>
      </c>
      <c r="C25" s="1" t="n">
        <v>46196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Broskvaxing
Hagfingersvamp</t>
        </is>
      </c>
      <c r="S25">
        <f>HYPERLINK("https://klasma.github.io/Logging_0780/artfynd/A 4684-2025 artfynd.xlsx", "A 4684-2025")</f>
        <v/>
      </c>
      <c r="T25">
        <f>HYPERLINK("https://klasma.github.io/Logging_0780/kartor/A 4684-2025 karta.png", "A 4684-2025")</f>
        <v/>
      </c>
      <c r="V25">
        <f>HYPERLINK("https://klasma.github.io/Logging_0780/klagomål/A 4684-2025 FSC-klagomål.docx", "A 4684-2025")</f>
        <v/>
      </c>
      <c r="W25">
        <f>HYPERLINK("https://klasma.github.io/Logging_0780/klagomålsmail/A 4684-2025 FSC-klagomål mail.docx", "A 4684-2025")</f>
        <v/>
      </c>
      <c r="X25">
        <f>HYPERLINK("https://klasma.github.io/Logging_0780/tillsyn/A 4684-2025 tillsynsbegäran.docx", "A 4684-2025")</f>
        <v/>
      </c>
      <c r="Y25">
        <f>HYPERLINK("https://klasma.github.io/Logging_0780/tillsynsmail/A 4684-2025 tillsynsbegäran mail.docx", "A 4684-2025")</f>
        <v/>
      </c>
    </row>
    <row r="26" ht="15" customHeight="1">
      <c r="A26" t="inlineStr">
        <is>
          <t>A 26684-2023</t>
        </is>
      </c>
      <c r="B26" s="1" t="n">
        <v>45093</v>
      </c>
      <c r="C26" s="1" t="n">
        <v>46196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HYPERLINK("https://klasma.github.io/Logging_0780/artfynd/A 26684-2023 artfynd.xlsx", "A 26684-2023")</f>
        <v/>
      </c>
      <c r="T26">
        <f>HYPERLINK("https://klasma.github.io/Logging_0780/kartor/A 26684-2023 karta.png", "A 26684-2023")</f>
        <v/>
      </c>
      <c r="U26">
        <f>HYPERLINK("https://klasma.github.io/Logging_0780/knärot/A 26684-2023 karta knärot.png", "A 26684-2023")</f>
        <v/>
      </c>
      <c r="V26">
        <f>HYPERLINK("https://klasma.github.io/Logging_0780/klagomål/A 26684-2023 FSC-klagomål.docx", "A 26684-2023")</f>
        <v/>
      </c>
      <c r="W26">
        <f>HYPERLINK("https://klasma.github.io/Logging_0780/klagomålsmail/A 26684-2023 FSC-klagomål mail.docx", "A 26684-2023")</f>
        <v/>
      </c>
      <c r="X26">
        <f>HYPERLINK("https://klasma.github.io/Logging_0780/tillsyn/A 26684-2023 tillsynsbegäran.docx", "A 26684-2023")</f>
        <v/>
      </c>
      <c r="Y26">
        <f>HYPERLINK("https://klasma.github.io/Logging_0780/tillsynsmail/A 26684-2023 tillsynsbegäran mail.docx", "A 26684-2023")</f>
        <v/>
      </c>
    </row>
    <row r="27" ht="15" customHeight="1">
      <c r="A27" t="inlineStr">
        <is>
          <t>A 47486-2024</t>
        </is>
      </c>
      <c r="B27" s="1" t="n">
        <v>45587</v>
      </c>
      <c r="C27" s="1" t="n">
        <v>46196</v>
      </c>
      <c r="D27" t="inlineStr">
        <is>
          <t>KRONOBERGS LÄN</t>
        </is>
      </c>
      <c r="E27" t="inlineStr">
        <is>
          <t>VÄXJÖ</t>
        </is>
      </c>
      <c r="G27" t="n">
        <v>6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Pärluggla
Nattskärra</t>
        </is>
      </c>
      <c r="S27">
        <f>HYPERLINK("https://klasma.github.io/Logging_0780/artfynd/A 47486-2024 artfynd.xlsx", "A 47486-2024")</f>
        <v/>
      </c>
      <c r="T27">
        <f>HYPERLINK("https://klasma.github.io/Logging_0780/kartor/A 47486-2024 karta.png", "A 47486-2024")</f>
        <v/>
      </c>
      <c r="V27">
        <f>HYPERLINK("https://klasma.github.io/Logging_0780/klagomål/A 47486-2024 FSC-klagomål.docx", "A 47486-2024")</f>
        <v/>
      </c>
      <c r="W27">
        <f>HYPERLINK("https://klasma.github.io/Logging_0780/klagomålsmail/A 47486-2024 FSC-klagomål mail.docx", "A 47486-2024")</f>
        <v/>
      </c>
      <c r="X27">
        <f>HYPERLINK("https://klasma.github.io/Logging_0780/tillsyn/A 47486-2024 tillsynsbegäran.docx", "A 47486-2024")</f>
        <v/>
      </c>
      <c r="Y27">
        <f>HYPERLINK("https://klasma.github.io/Logging_0780/tillsynsmail/A 47486-2024 tillsynsbegäran mail.docx", "A 47486-2024")</f>
        <v/>
      </c>
      <c r="Z27">
        <f>HYPERLINK("https://klasma.github.io/Logging_0780/fåglar/A 47486-2024 prioriterade fågelarter.docx", "A 47486-2024")</f>
        <v/>
      </c>
    </row>
    <row r="28" ht="15" customHeight="1">
      <c r="A28" t="inlineStr">
        <is>
          <t>A 22521-2024</t>
        </is>
      </c>
      <c r="B28" s="1" t="n">
        <v>45447</v>
      </c>
      <c r="C28" s="1" t="n">
        <v>46196</v>
      </c>
      <c r="D28" t="inlineStr">
        <is>
          <t>KRONOBERGS LÄN</t>
        </is>
      </c>
      <c r="E28" t="inlineStr">
        <is>
          <t>VÄXJÖ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Grönvit nattviol</t>
        </is>
      </c>
      <c r="S28">
        <f>HYPERLINK("https://klasma.github.io/Logging_0780/artfynd/A 22521-2024 artfynd.xlsx", "A 22521-2024")</f>
        <v/>
      </c>
      <c r="T28">
        <f>HYPERLINK("https://klasma.github.io/Logging_0780/kartor/A 22521-2024 karta.png", "A 22521-2024")</f>
        <v/>
      </c>
      <c r="V28">
        <f>HYPERLINK("https://klasma.github.io/Logging_0780/klagomål/A 22521-2024 FSC-klagomål.docx", "A 22521-2024")</f>
        <v/>
      </c>
      <c r="W28">
        <f>HYPERLINK("https://klasma.github.io/Logging_0780/klagomålsmail/A 22521-2024 FSC-klagomål mail.docx", "A 22521-2024")</f>
        <v/>
      </c>
      <c r="X28">
        <f>HYPERLINK("https://klasma.github.io/Logging_0780/tillsyn/A 22521-2024 tillsynsbegäran.docx", "A 22521-2024")</f>
        <v/>
      </c>
      <c r="Y28">
        <f>HYPERLINK("https://klasma.github.io/Logging_0780/tillsynsmail/A 22521-2024 tillsynsbegäran mail.docx", "A 22521-2024")</f>
        <v/>
      </c>
    </row>
    <row r="29" ht="15" customHeight="1">
      <c r="A29" t="inlineStr">
        <is>
          <t>A 61844-2024</t>
        </is>
      </c>
      <c r="B29" s="1" t="n">
        <v>45649</v>
      </c>
      <c r="C29" s="1" t="n">
        <v>46196</v>
      </c>
      <c r="D29" t="inlineStr">
        <is>
          <t>KRONOBERGS LÄN</t>
        </is>
      </c>
      <c r="E29" t="inlineStr">
        <is>
          <t>VÄXJÖ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Bårdlav</t>
        </is>
      </c>
      <c r="S29">
        <f>HYPERLINK("https://klasma.github.io/Logging_0780/artfynd/A 61844-2024 artfynd.xlsx", "A 61844-2024")</f>
        <v/>
      </c>
      <c r="T29">
        <f>HYPERLINK("https://klasma.github.io/Logging_0780/kartor/A 61844-2024 karta.png", "A 61844-2024")</f>
        <v/>
      </c>
      <c r="V29">
        <f>HYPERLINK("https://klasma.github.io/Logging_0780/klagomål/A 61844-2024 FSC-klagomål.docx", "A 61844-2024")</f>
        <v/>
      </c>
      <c r="W29">
        <f>HYPERLINK("https://klasma.github.io/Logging_0780/klagomålsmail/A 61844-2024 FSC-klagomål mail.docx", "A 61844-2024")</f>
        <v/>
      </c>
      <c r="X29">
        <f>HYPERLINK("https://klasma.github.io/Logging_0780/tillsyn/A 61844-2024 tillsynsbegäran.docx", "A 61844-2024")</f>
        <v/>
      </c>
      <c r="Y29">
        <f>HYPERLINK("https://klasma.github.io/Logging_0780/tillsynsmail/A 61844-2024 tillsynsbegäran mail.docx", "A 61844-2024")</f>
        <v/>
      </c>
    </row>
    <row r="30" ht="15" customHeight="1">
      <c r="A30" t="inlineStr">
        <is>
          <t>A 38339-2024</t>
        </is>
      </c>
      <c r="B30" s="1" t="n">
        <v>45545</v>
      </c>
      <c r="C30" s="1" t="n">
        <v>46196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Tallriska
Blomkålssvamp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46196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46196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46196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46196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49010-2024</t>
        </is>
      </c>
      <c r="B35" s="1" t="n">
        <v>45594</v>
      </c>
      <c r="C35" s="1" t="n">
        <v>46196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HYPERLINK("https://klasma.github.io/Logging_0780/artfynd/A 49010-2024 artfynd.xlsx", "A 49010-2024")</f>
        <v/>
      </c>
      <c r="T35">
        <f>HYPERLINK("https://klasma.github.io/Logging_0780/kartor/A 49010-2024 karta.png", "A 49010-2024")</f>
        <v/>
      </c>
      <c r="V35">
        <f>HYPERLINK("https://klasma.github.io/Logging_0780/klagomål/A 49010-2024 FSC-klagomål.docx", "A 49010-2024")</f>
        <v/>
      </c>
      <c r="W35">
        <f>HYPERLINK("https://klasma.github.io/Logging_0780/klagomålsmail/A 49010-2024 FSC-klagomål mail.docx", "A 49010-2024")</f>
        <v/>
      </c>
      <c r="X35">
        <f>HYPERLINK("https://klasma.github.io/Logging_0780/tillsyn/A 49010-2024 tillsynsbegäran.docx", "A 49010-2024")</f>
        <v/>
      </c>
      <c r="Y35">
        <f>HYPERLINK("https://klasma.github.io/Logging_0780/tillsynsmail/A 49010-2024 tillsynsbegäran mail.docx", "A 49010-2024")</f>
        <v/>
      </c>
    </row>
    <row r="36" ht="15" customHeight="1">
      <c r="A36" t="inlineStr">
        <is>
          <t>A 49013-2024</t>
        </is>
      </c>
      <c r="B36" s="1" t="n">
        <v>45594</v>
      </c>
      <c r="C36" s="1" t="n">
        <v>46196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49013-2024 artfynd.xlsx", "A 49013-2024")</f>
        <v/>
      </c>
      <c r="T36">
        <f>HYPERLINK("https://klasma.github.io/Logging_0780/kartor/A 49013-2024 karta.png", "A 49013-2024")</f>
        <v/>
      </c>
      <c r="V36">
        <f>HYPERLINK("https://klasma.github.io/Logging_0780/klagomål/A 49013-2024 FSC-klagomål.docx", "A 49013-2024")</f>
        <v/>
      </c>
      <c r="W36">
        <f>HYPERLINK("https://klasma.github.io/Logging_0780/klagomålsmail/A 49013-2024 FSC-klagomål mail.docx", "A 49013-2024")</f>
        <v/>
      </c>
      <c r="X36">
        <f>HYPERLINK("https://klasma.github.io/Logging_0780/tillsyn/A 49013-2024 tillsynsbegäran.docx", "A 49013-2024")</f>
        <v/>
      </c>
      <c r="Y36">
        <f>HYPERLINK("https://klasma.github.io/Logging_0780/tillsynsmail/A 49013-2024 tillsynsbegäran mail.docx", "A 49013-2024")</f>
        <v/>
      </c>
    </row>
    <row r="37" ht="15" customHeight="1">
      <c r="A37" t="inlineStr">
        <is>
          <t>A 14022-2024</t>
        </is>
      </c>
      <c r="B37" s="1" t="n">
        <v>45392</v>
      </c>
      <c r="C37" s="1" t="n">
        <v>46196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14022-2024 artfynd.xlsx", "A 14022-2024")</f>
        <v/>
      </c>
      <c r="T37">
        <f>HYPERLINK("https://klasma.github.io/Logging_0780/kartor/A 14022-2024 karta.png", "A 14022-2024")</f>
        <v/>
      </c>
      <c r="V37">
        <f>HYPERLINK("https://klasma.github.io/Logging_0780/klagomål/A 14022-2024 FSC-klagomål.docx", "A 14022-2024")</f>
        <v/>
      </c>
      <c r="W37">
        <f>HYPERLINK("https://klasma.github.io/Logging_0780/klagomålsmail/A 14022-2024 FSC-klagomål mail.docx", "A 14022-2024")</f>
        <v/>
      </c>
      <c r="X37">
        <f>HYPERLINK("https://klasma.github.io/Logging_0780/tillsyn/A 14022-2024 tillsynsbegäran.docx", "A 14022-2024")</f>
        <v/>
      </c>
      <c r="Y37">
        <f>HYPERLINK("https://klasma.github.io/Logging_0780/tillsynsmail/A 14022-2024 tillsynsbegäran mail.docx", "A 14022-2024")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46196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54112-2025</t>
        </is>
      </c>
      <c r="B39" s="1" t="n">
        <v>45964</v>
      </c>
      <c r="C39" s="1" t="n">
        <v>46196</v>
      </c>
      <c r="D39" t="inlineStr">
        <is>
          <t>KRONOBERGS LÄN</t>
        </is>
      </c>
      <c r="E39" t="inlineStr">
        <is>
          <t>VÄXJÖ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HYPERLINK("https://klasma.github.io/Logging_0780/artfynd/A 54112-2025 artfynd.xlsx", "A 54112-2025")</f>
        <v/>
      </c>
      <c r="T39">
        <f>HYPERLINK("https://klasma.github.io/Logging_0780/kartor/A 54112-2025 karta.png", "A 54112-2025")</f>
        <v/>
      </c>
      <c r="V39">
        <f>HYPERLINK("https://klasma.github.io/Logging_0780/klagomål/A 54112-2025 FSC-klagomål.docx", "A 54112-2025")</f>
        <v/>
      </c>
      <c r="W39">
        <f>HYPERLINK("https://klasma.github.io/Logging_0780/klagomålsmail/A 54112-2025 FSC-klagomål mail.docx", "A 54112-2025")</f>
        <v/>
      </c>
      <c r="X39">
        <f>HYPERLINK("https://klasma.github.io/Logging_0780/tillsyn/A 54112-2025 tillsynsbegäran.docx", "A 54112-2025")</f>
        <v/>
      </c>
      <c r="Y39">
        <f>HYPERLINK("https://klasma.github.io/Logging_0780/tillsynsmail/A 54112-2025 tillsynsbegäran mail.docx", "A 54112-2025")</f>
        <v/>
      </c>
      <c r="Z39">
        <f>HYPERLINK("https://klasma.github.io/Logging_0780/fåglar/A 54112-2025 prioriterade fågelarter.docx", "A 54112-2025")</f>
        <v/>
      </c>
    </row>
    <row r="40" ht="15" customHeight="1">
      <c r="A40" t="inlineStr">
        <is>
          <t>A 54410-2024</t>
        </is>
      </c>
      <c r="B40" s="1" t="n">
        <v>45617</v>
      </c>
      <c r="C40" s="1" t="n">
        <v>46196</v>
      </c>
      <c r="D40" t="inlineStr">
        <is>
          <t>KRONOBERGS LÄN</t>
        </is>
      </c>
      <c r="E40" t="inlineStr">
        <is>
          <t>VÄXJÖ</t>
        </is>
      </c>
      <c r="F40" t="inlineStr">
        <is>
          <t>Kommuner</t>
        </is>
      </c>
      <c r="G40" t="n">
        <v>7.2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HYPERLINK("https://klasma.github.io/Logging_0780/artfynd/A 54410-2024 artfynd.xlsx", "A 54410-2024")</f>
        <v/>
      </c>
      <c r="T40">
        <f>HYPERLINK("https://klasma.github.io/Logging_0780/kartor/A 54410-2024 karta.png", "A 54410-2024")</f>
        <v/>
      </c>
      <c r="V40">
        <f>HYPERLINK("https://klasma.github.io/Logging_0780/klagomål/A 54410-2024 FSC-klagomål.docx", "A 54410-2024")</f>
        <v/>
      </c>
      <c r="W40">
        <f>HYPERLINK("https://klasma.github.io/Logging_0780/klagomålsmail/A 54410-2024 FSC-klagomål mail.docx", "A 54410-2024")</f>
        <v/>
      </c>
      <c r="X40">
        <f>HYPERLINK("https://klasma.github.io/Logging_0780/tillsyn/A 54410-2024 tillsynsbegäran.docx", "A 54410-2024")</f>
        <v/>
      </c>
      <c r="Y40">
        <f>HYPERLINK("https://klasma.github.io/Logging_0780/tillsynsmail/A 54410-2024 tillsynsbegäran mail.docx", "A 54410-2024")</f>
        <v/>
      </c>
    </row>
    <row r="41" ht="15" customHeight="1">
      <c r="A41" t="inlineStr">
        <is>
          <t>A 51647-2024</t>
        </is>
      </c>
      <c r="B41" s="1" t="n">
        <v>45606</v>
      </c>
      <c r="C41" s="1" t="n">
        <v>46196</v>
      </c>
      <c r="D41" t="inlineStr">
        <is>
          <t>KRONOBERGS LÄN</t>
        </is>
      </c>
      <c r="E41" t="inlineStr">
        <is>
          <t>VÄXJÖ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HYPERLINK("https://klasma.github.io/Logging_0780/artfynd/A 51647-2024 artfynd.xlsx", "A 51647-2024")</f>
        <v/>
      </c>
      <c r="T41">
        <f>HYPERLINK("https://klasma.github.io/Logging_0780/kartor/A 51647-2024 karta.png", "A 51647-2024")</f>
        <v/>
      </c>
      <c r="V41">
        <f>HYPERLINK("https://klasma.github.io/Logging_0780/klagomål/A 51647-2024 FSC-klagomål.docx", "A 51647-2024")</f>
        <v/>
      </c>
      <c r="W41">
        <f>HYPERLINK("https://klasma.github.io/Logging_0780/klagomålsmail/A 51647-2024 FSC-klagomål mail.docx", "A 51647-2024")</f>
        <v/>
      </c>
      <c r="X41">
        <f>HYPERLINK("https://klasma.github.io/Logging_0780/tillsyn/A 51647-2024 tillsynsbegäran.docx", "A 51647-2024")</f>
        <v/>
      </c>
      <c r="Y41">
        <f>HYPERLINK("https://klasma.github.io/Logging_0780/tillsynsmail/A 51647-2024 tillsynsbegäran mail.docx", "A 51647-2024")</f>
        <v/>
      </c>
    </row>
    <row r="42" ht="15" customHeight="1">
      <c r="A42" t="inlineStr">
        <is>
          <t>A 56802-2025</t>
        </is>
      </c>
      <c r="B42" s="1" t="n">
        <v>45978</v>
      </c>
      <c r="C42" s="1" t="n">
        <v>46196</v>
      </c>
      <c r="D42" t="inlineStr">
        <is>
          <t>KRONOBERGS LÄN</t>
        </is>
      </c>
      <c r="E42" t="inlineStr">
        <is>
          <t>VÄXJÖ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HYPERLINK("https://klasma.github.io/Logging_0780/artfynd/A 56802-2025 artfynd.xlsx", "A 56802-2025")</f>
        <v/>
      </c>
      <c r="T42">
        <f>HYPERLINK("https://klasma.github.io/Logging_0780/kartor/A 56802-2025 karta.png", "A 56802-2025")</f>
        <v/>
      </c>
      <c r="U42">
        <f>HYPERLINK("https://klasma.github.io/Logging_0780/knärot/A 56802-2025 karta knärot.png", "A 56802-2025")</f>
        <v/>
      </c>
      <c r="V42">
        <f>HYPERLINK("https://klasma.github.io/Logging_0780/klagomål/A 56802-2025 FSC-klagomål.docx", "A 56802-2025")</f>
        <v/>
      </c>
      <c r="W42">
        <f>HYPERLINK("https://klasma.github.io/Logging_0780/klagomålsmail/A 56802-2025 FSC-klagomål mail.docx", "A 56802-2025")</f>
        <v/>
      </c>
      <c r="X42">
        <f>HYPERLINK("https://klasma.github.io/Logging_0780/tillsyn/A 56802-2025 tillsynsbegäran.docx", "A 56802-2025")</f>
        <v/>
      </c>
      <c r="Y42">
        <f>HYPERLINK("https://klasma.github.io/Logging_0780/tillsynsmail/A 56802-2025 tillsynsbegäran mail.docx", "A 56802-2025")</f>
        <v/>
      </c>
    </row>
    <row r="43" ht="15" customHeight="1">
      <c r="A43" t="inlineStr">
        <is>
          <t>A 43899-2025</t>
        </is>
      </c>
      <c r="B43" s="1" t="n">
        <v>45912</v>
      </c>
      <c r="C43" s="1" t="n">
        <v>46196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HYPERLINK("https://klasma.github.io/Logging_0780/artfynd/A 43899-2025 artfynd.xlsx", "A 43899-2025")</f>
        <v/>
      </c>
      <c r="T43">
        <f>HYPERLINK("https://klasma.github.io/Logging_0780/kartor/A 43899-2025 karta.png", "A 43899-2025")</f>
        <v/>
      </c>
      <c r="V43">
        <f>HYPERLINK("https://klasma.github.io/Logging_0780/klagomål/A 43899-2025 FSC-klagomål.docx", "A 43899-2025")</f>
        <v/>
      </c>
      <c r="W43">
        <f>HYPERLINK("https://klasma.github.io/Logging_0780/klagomålsmail/A 43899-2025 FSC-klagomål mail.docx", "A 43899-2025")</f>
        <v/>
      </c>
      <c r="X43">
        <f>HYPERLINK("https://klasma.github.io/Logging_0780/tillsyn/A 43899-2025 tillsynsbegäran.docx", "A 43899-2025")</f>
        <v/>
      </c>
      <c r="Y43">
        <f>HYPERLINK("https://klasma.github.io/Logging_0780/tillsynsmail/A 43899-2025 tillsynsbegäran mail.docx", "A 43899-2025")</f>
        <v/>
      </c>
      <c r="Z43">
        <f>HYPERLINK("https://klasma.github.io/Logging_0780/fåglar/A 43899-2025 prioriterade fågelarter.docx", "A 43899-2025")</f>
        <v/>
      </c>
    </row>
    <row r="44" ht="15" customHeight="1">
      <c r="A44" t="inlineStr">
        <is>
          <t>A 4380-2026</t>
        </is>
      </c>
      <c r="B44" s="1" t="n">
        <v>46045</v>
      </c>
      <c r="C44" s="1" t="n">
        <v>46196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HYPERLINK("https://klasma.github.io/Logging_0780/artfynd/A 4380-2026 artfynd.xlsx", "A 4380-2026")</f>
        <v/>
      </c>
      <c r="T44">
        <f>HYPERLINK("https://klasma.github.io/Logging_0780/kartor/A 4380-2026 karta.png", "A 4380-2026")</f>
        <v/>
      </c>
      <c r="V44">
        <f>HYPERLINK("https://klasma.github.io/Logging_0780/klagomål/A 4380-2026 FSC-klagomål.docx", "A 4380-2026")</f>
        <v/>
      </c>
      <c r="W44">
        <f>HYPERLINK("https://klasma.github.io/Logging_0780/klagomålsmail/A 4380-2026 FSC-klagomål mail.docx", "A 4380-2026")</f>
        <v/>
      </c>
      <c r="X44">
        <f>HYPERLINK("https://klasma.github.io/Logging_0780/tillsyn/A 4380-2026 tillsynsbegäran.docx", "A 4380-2026")</f>
        <v/>
      </c>
      <c r="Y44">
        <f>HYPERLINK("https://klasma.github.io/Logging_0780/tillsynsmail/A 4380-2026 tillsynsbegäran mail.docx", "A 4380-2026")</f>
        <v/>
      </c>
    </row>
    <row r="45" ht="15" customHeight="1">
      <c r="A45" t="inlineStr">
        <is>
          <t>A 35815-2021</t>
        </is>
      </c>
      <c r="B45" s="1" t="n">
        <v>44386</v>
      </c>
      <c r="C45" s="1" t="n">
        <v>46196</v>
      </c>
      <c r="D45" t="inlineStr">
        <is>
          <t>KRONOBERGS LÄN</t>
        </is>
      </c>
      <c r="E45" t="inlineStr">
        <is>
          <t>VÄXJÖ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HYPERLINK("https://klasma.github.io/Logging_0780/artfynd/A 35815-2021 artfynd.xlsx", "A 35815-2021")</f>
        <v/>
      </c>
      <c r="T45">
        <f>HYPERLINK("https://klasma.github.io/Logging_0780/kartor/A 35815-2021 karta.png", "A 35815-2021")</f>
        <v/>
      </c>
      <c r="V45">
        <f>HYPERLINK("https://klasma.github.io/Logging_0780/klagomål/A 35815-2021 FSC-klagomål.docx", "A 35815-2021")</f>
        <v/>
      </c>
      <c r="W45">
        <f>HYPERLINK("https://klasma.github.io/Logging_0780/klagomålsmail/A 35815-2021 FSC-klagomål mail.docx", "A 35815-2021")</f>
        <v/>
      </c>
      <c r="X45">
        <f>HYPERLINK("https://klasma.github.io/Logging_0780/tillsyn/A 35815-2021 tillsynsbegäran.docx", "A 35815-2021")</f>
        <v/>
      </c>
      <c r="Y45">
        <f>HYPERLINK("https://klasma.github.io/Logging_0780/tillsynsmail/A 35815-2021 tillsynsbegäran mail.docx", "A 35815-2021")</f>
        <v/>
      </c>
    </row>
    <row r="46" ht="15" customHeight="1">
      <c r="A46" t="inlineStr">
        <is>
          <t>A 60370-2024</t>
        </is>
      </c>
      <c r="B46" s="1" t="n">
        <v>45643</v>
      </c>
      <c r="C46" s="1" t="n">
        <v>46196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60370-2024 artfynd.xlsx", "A 60370-2024")</f>
        <v/>
      </c>
      <c r="T46">
        <f>HYPERLINK("https://klasma.github.io/Logging_0780/kartor/A 60370-2024 karta.png", "A 60370-2024")</f>
        <v/>
      </c>
      <c r="V46">
        <f>HYPERLINK("https://klasma.github.io/Logging_0780/klagomål/A 60370-2024 FSC-klagomål.docx", "A 60370-2024")</f>
        <v/>
      </c>
      <c r="W46">
        <f>HYPERLINK("https://klasma.github.io/Logging_0780/klagomålsmail/A 60370-2024 FSC-klagomål mail.docx", "A 60370-2024")</f>
        <v/>
      </c>
      <c r="X46">
        <f>HYPERLINK("https://klasma.github.io/Logging_0780/tillsyn/A 60370-2024 tillsynsbegäran.docx", "A 60370-2024")</f>
        <v/>
      </c>
      <c r="Y46">
        <f>HYPERLINK("https://klasma.github.io/Logging_0780/tillsynsmail/A 60370-2024 tillsynsbegäran mail.docx", "A 60370-2024")</f>
        <v/>
      </c>
    </row>
    <row r="47" ht="15" customHeight="1">
      <c r="A47" t="inlineStr">
        <is>
          <t>A 27158-2022</t>
        </is>
      </c>
      <c r="B47" s="1" t="n">
        <v>44741</v>
      </c>
      <c r="C47" s="1" t="n">
        <v>46196</v>
      </c>
      <c r="D47" t="inlineStr">
        <is>
          <t>KRONOBERGS LÄN</t>
        </is>
      </c>
      <c r="E47" t="inlineStr">
        <is>
          <t>VÄXJÖ</t>
        </is>
      </c>
      <c r="G47" t="n">
        <v>1.8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HYPERLINK("https://klasma.github.io/Logging_0780/artfynd/A 27158-2022 artfynd.xlsx", "A 27158-2022")</f>
        <v/>
      </c>
      <c r="T47">
        <f>HYPERLINK("https://klasma.github.io/Logging_0780/kartor/A 27158-2022 karta.png", "A 27158-2022")</f>
        <v/>
      </c>
      <c r="V47">
        <f>HYPERLINK("https://klasma.github.io/Logging_0780/klagomål/A 27158-2022 FSC-klagomål.docx", "A 27158-2022")</f>
        <v/>
      </c>
      <c r="W47">
        <f>HYPERLINK("https://klasma.github.io/Logging_0780/klagomålsmail/A 27158-2022 FSC-klagomål mail.docx", "A 27158-2022")</f>
        <v/>
      </c>
      <c r="X47">
        <f>HYPERLINK("https://klasma.github.io/Logging_0780/tillsyn/A 27158-2022 tillsynsbegäran.docx", "A 27158-2022")</f>
        <v/>
      </c>
      <c r="Y47">
        <f>HYPERLINK("https://klasma.github.io/Logging_0780/tillsynsmail/A 27158-2022 tillsynsbegäran mail.docx", "A 27158-2022")</f>
        <v/>
      </c>
    </row>
    <row r="48" ht="15" customHeight="1">
      <c r="A48" t="inlineStr">
        <is>
          <t>A 49086-2024</t>
        </is>
      </c>
      <c r="B48" s="1" t="n">
        <v>45594</v>
      </c>
      <c r="C48" s="1" t="n">
        <v>46196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 glada</t>
        </is>
      </c>
      <c r="S48">
        <f>HYPERLINK("https://klasma.github.io/Logging_0780/artfynd/A 49086-2024 artfynd.xlsx", "A 49086-2024")</f>
        <v/>
      </c>
      <c r="T48">
        <f>HYPERLINK("https://klasma.github.io/Logging_0780/kartor/A 49086-2024 karta.png", "A 49086-2024")</f>
        <v/>
      </c>
      <c r="V48">
        <f>HYPERLINK("https://klasma.github.io/Logging_0780/klagomål/A 49086-2024 FSC-klagomål.docx", "A 49086-2024")</f>
        <v/>
      </c>
      <c r="W48">
        <f>HYPERLINK("https://klasma.github.io/Logging_0780/klagomålsmail/A 49086-2024 FSC-klagomål mail.docx", "A 49086-2024")</f>
        <v/>
      </c>
      <c r="X48">
        <f>HYPERLINK("https://klasma.github.io/Logging_0780/tillsyn/A 49086-2024 tillsynsbegäran.docx", "A 49086-2024")</f>
        <v/>
      </c>
      <c r="Y48">
        <f>HYPERLINK("https://klasma.github.io/Logging_0780/tillsynsmail/A 49086-2024 tillsynsbegäran mail.docx", "A 49086-2024")</f>
        <v/>
      </c>
      <c r="Z48">
        <f>HYPERLINK("https://klasma.github.io/Logging_0780/fåglar/A 49086-2024 prioriterade fågelarter.docx", "A 49086-2024")</f>
        <v/>
      </c>
    </row>
    <row r="49" ht="15" customHeight="1">
      <c r="A49" t="inlineStr">
        <is>
          <t>A 23155-2026</t>
        </is>
      </c>
      <c r="B49" s="1" t="n">
        <v>46161</v>
      </c>
      <c r="C49" s="1" t="n">
        <v>46196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HYPERLINK("https://klasma.github.io/Logging_0780/artfynd/A 23155-2026 artfynd.xlsx", "A 23155-2026")</f>
        <v/>
      </c>
      <c r="T49">
        <f>HYPERLINK("https://klasma.github.io/Logging_0780/kartor/A 23155-2026 karta.png", "A 23155-2026")</f>
        <v/>
      </c>
      <c r="V49">
        <f>HYPERLINK("https://klasma.github.io/Logging_0780/klagomål/A 23155-2026 FSC-klagomål.docx", "A 23155-2026")</f>
        <v/>
      </c>
      <c r="W49">
        <f>HYPERLINK("https://klasma.github.io/Logging_0780/klagomålsmail/A 23155-2026 FSC-klagomål mail.docx", "A 23155-2026")</f>
        <v/>
      </c>
      <c r="X49">
        <f>HYPERLINK("https://klasma.github.io/Logging_0780/tillsyn/A 23155-2026 tillsynsbegäran.docx", "A 23155-2026")</f>
        <v/>
      </c>
      <c r="Y49">
        <f>HYPERLINK("https://klasma.github.io/Logging_0780/tillsynsmail/A 23155-2026 tillsynsbegäran mail.docx", "A 23155-2026")</f>
        <v/>
      </c>
    </row>
    <row r="50" ht="15" customHeight="1">
      <c r="A50" t="inlineStr">
        <is>
          <t>A 23151-2026</t>
        </is>
      </c>
      <c r="B50" s="1" t="n">
        <v>46161</v>
      </c>
      <c r="C50" s="1" t="n">
        <v>46196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HYPERLINK("https://klasma.github.io/Logging_0780/artfynd/A 23151-2026 artfynd.xlsx", "A 23151-2026")</f>
        <v/>
      </c>
      <c r="T50">
        <f>HYPERLINK("https://klasma.github.io/Logging_0780/kartor/A 23151-2026 karta.png", "A 23151-2026")</f>
        <v/>
      </c>
      <c r="V50">
        <f>HYPERLINK("https://klasma.github.io/Logging_0780/klagomål/A 23151-2026 FSC-klagomål.docx", "A 23151-2026")</f>
        <v/>
      </c>
      <c r="W50">
        <f>HYPERLINK("https://klasma.github.io/Logging_0780/klagomålsmail/A 23151-2026 FSC-klagomål mail.docx", "A 23151-2026")</f>
        <v/>
      </c>
      <c r="X50">
        <f>HYPERLINK("https://klasma.github.io/Logging_0780/tillsyn/A 23151-2026 tillsynsbegäran.docx", "A 23151-2026")</f>
        <v/>
      </c>
      <c r="Y50">
        <f>HYPERLINK("https://klasma.github.io/Logging_0780/tillsynsmail/A 23151-2026 tillsynsbegäran mail.docx", "A 23151-2026")</f>
        <v/>
      </c>
    </row>
    <row r="51" ht="15" customHeight="1">
      <c r="A51" t="inlineStr">
        <is>
          <t>A 64150-2023</t>
        </is>
      </c>
      <c r="B51" s="1" t="n">
        <v>45279</v>
      </c>
      <c r="C51" s="1" t="n">
        <v>46196</v>
      </c>
      <c r="D51" t="inlineStr">
        <is>
          <t>KRONOBERGS LÄN</t>
        </is>
      </c>
      <c r="E51" t="inlineStr">
        <is>
          <t>VÄXJÖ</t>
        </is>
      </c>
      <c r="G51" t="n">
        <v>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HYPERLINK("https://klasma.github.io/Logging_0780/artfynd/A 64150-2023 artfynd.xlsx", "A 64150-2023")</f>
        <v/>
      </c>
      <c r="T51">
        <f>HYPERLINK("https://klasma.github.io/Logging_0780/kartor/A 64150-2023 karta.png", "A 64150-2023")</f>
        <v/>
      </c>
      <c r="V51">
        <f>HYPERLINK("https://klasma.github.io/Logging_0780/klagomål/A 64150-2023 FSC-klagomål.docx", "A 64150-2023")</f>
        <v/>
      </c>
      <c r="W51">
        <f>HYPERLINK("https://klasma.github.io/Logging_0780/klagomålsmail/A 64150-2023 FSC-klagomål mail.docx", "A 64150-2023")</f>
        <v/>
      </c>
      <c r="X51">
        <f>HYPERLINK("https://klasma.github.io/Logging_0780/tillsyn/A 64150-2023 tillsynsbegäran.docx", "A 64150-2023")</f>
        <v/>
      </c>
      <c r="Y51">
        <f>HYPERLINK("https://klasma.github.io/Logging_0780/tillsynsmail/A 64150-2023 tillsynsbegäran mail.docx", "A 64150-2023")</f>
        <v/>
      </c>
    </row>
    <row r="52" ht="15" customHeight="1">
      <c r="A52" t="inlineStr">
        <is>
          <t>A 4654-2024</t>
        </is>
      </c>
      <c r="B52" s="1" t="n">
        <v>45327</v>
      </c>
      <c r="C52" s="1" t="n">
        <v>46196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HYPERLINK("https://klasma.github.io/Logging_0780/artfynd/A 4654-2024 artfynd.xlsx", "A 4654-2024")</f>
        <v/>
      </c>
      <c r="T52">
        <f>HYPERLINK("https://klasma.github.io/Logging_0780/kartor/A 4654-2024 karta.png", "A 4654-2024")</f>
        <v/>
      </c>
      <c r="V52">
        <f>HYPERLINK("https://klasma.github.io/Logging_0780/klagomål/A 4654-2024 FSC-klagomål.docx", "A 4654-2024")</f>
        <v/>
      </c>
      <c r="W52">
        <f>HYPERLINK("https://klasma.github.io/Logging_0780/klagomålsmail/A 4654-2024 FSC-klagomål mail.docx", "A 4654-2024")</f>
        <v/>
      </c>
      <c r="X52">
        <f>HYPERLINK("https://klasma.github.io/Logging_0780/tillsyn/A 4654-2024 tillsynsbegäran.docx", "A 4654-2024")</f>
        <v/>
      </c>
      <c r="Y52">
        <f>HYPERLINK("https://klasma.github.io/Logging_0780/tillsynsmail/A 4654-2024 tillsynsbegäran mail.docx", "A 4654-2024")</f>
        <v/>
      </c>
    </row>
    <row r="53" ht="15" customHeight="1">
      <c r="A53" t="inlineStr">
        <is>
          <t>A 29290-2025</t>
        </is>
      </c>
      <c r="B53" s="1" t="n">
        <v>45824</v>
      </c>
      <c r="C53" s="1" t="n">
        <v>46196</v>
      </c>
      <c r="D53" t="inlineStr">
        <is>
          <t>KRONOBERGS LÄN</t>
        </is>
      </c>
      <c r="E53" t="inlineStr">
        <is>
          <t>VÄXJÖ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HYPERLINK("https://klasma.github.io/Logging_0780/artfynd/A 29290-2025 artfynd.xlsx", "A 29290-2025")</f>
        <v/>
      </c>
      <c r="T53">
        <f>HYPERLINK("https://klasma.github.io/Logging_0780/kartor/A 29290-2025 karta.png", "A 29290-2025")</f>
        <v/>
      </c>
      <c r="V53">
        <f>HYPERLINK("https://klasma.github.io/Logging_0780/klagomål/A 29290-2025 FSC-klagomål.docx", "A 29290-2025")</f>
        <v/>
      </c>
      <c r="W53">
        <f>HYPERLINK("https://klasma.github.io/Logging_0780/klagomålsmail/A 29290-2025 FSC-klagomål mail.docx", "A 29290-2025")</f>
        <v/>
      </c>
      <c r="X53">
        <f>HYPERLINK("https://klasma.github.io/Logging_0780/tillsyn/A 29290-2025 tillsynsbegäran.docx", "A 29290-2025")</f>
        <v/>
      </c>
      <c r="Y53">
        <f>HYPERLINK("https://klasma.github.io/Logging_0780/tillsynsmail/A 29290-2025 tillsynsbegäran mail.docx", "A 29290-2025")</f>
        <v/>
      </c>
    </row>
    <row r="54" ht="15" customHeight="1">
      <c r="A54" t="inlineStr">
        <is>
          <t>A 26423-2026</t>
        </is>
      </c>
      <c r="B54" s="1" t="n">
        <v>46182</v>
      </c>
      <c r="C54" s="1" t="n">
        <v>46196</v>
      </c>
      <c r="D54" t="inlineStr">
        <is>
          <t>KRONOBERGS LÄN</t>
        </is>
      </c>
      <c r="E54" t="inlineStr">
        <is>
          <t>VÄXJÖ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26423-2026 artfynd.xlsx", "A 26423-2026")</f>
        <v/>
      </c>
      <c r="T54">
        <f>HYPERLINK("https://klasma.github.io/Logging_0780/kartor/A 26423-2026 karta.png", "A 26423-2026")</f>
        <v/>
      </c>
      <c r="V54">
        <f>HYPERLINK("https://klasma.github.io/Logging_0780/klagomål/A 26423-2026 FSC-klagomål.docx", "A 26423-2026")</f>
        <v/>
      </c>
      <c r="W54">
        <f>HYPERLINK("https://klasma.github.io/Logging_0780/klagomålsmail/A 26423-2026 FSC-klagomål mail.docx", "A 26423-2026")</f>
        <v/>
      </c>
      <c r="X54">
        <f>HYPERLINK("https://klasma.github.io/Logging_0780/tillsyn/A 26423-2026 tillsynsbegäran.docx", "A 26423-2026")</f>
        <v/>
      </c>
      <c r="Y54">
        <f>HYPERLINK("https://klasma.github.io/Logging_0780/tillsynsmail/A 26423-2026 tillsynsbegäran mail.docx", "A 26423-2026")</f>
        <v/>
      </c>
      <c r="Z54">
        <f>HYPERLINK("https://klasma.github.io/Logging_0780/fåglar/A 26423-2026 prioriterade fågelarter.docx", "A 26423-2026")</f>
        <v/>
      </c>
    </row>
    <row r="55" ht="15" customHeight="1">
      <c r="A55" t="inlineStr">
        <is>
          <t>A 64284-2023</t>
        </is>
      </c>
      <c r="B55" s="1" t="n">
        <v>45280</v>
      </c>
      <c r="C55" s="1" t="n">
        <v>46196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HYPERLINK("https://klasma.github.io/Logging_0780/artfynd/A 64284-2023 artfynd.xlsx", "A 64284-2023")</f>
        <v/>
      </c>
      <c r="T55">
        <f>HYPERLINK("https://klasma.github.io/Logging_0780/kartor/A 64284-2023 karta.png", "A 64284-2023")</f>
        <v/>
      </c>
      <c r="V55">
        <f>HYPERLINK("https://klasma.github.io/Logging_0780/klagomål/A 64284-2023 FSC-klagomål.docx", "A 64284-2023")</f>
        <v/>
      </c>
      <c r="W55">
        <f>HYPERLINK("https://klasma.github.io/Logging_0780/klagomålsmail/A 64284-2023 FSC-klagomål mail.docx", "A 64284-2023")</f>
        <v/>
      </c>
      <c r="X55">
        <f>HYPERLINK("https://klasma.github.io/Logging_0780/tillsyn/A 64284-2023 tillsynsbegäran.docx", "A 64284-2023")</f>
        <v/>
      </c>
      <c r="Y55">
        <f>HYPERLINK("https://klasma.github.io/Logging_0780/tillsynsmail/A 64284-2023 tillsynsbegäran mail.docx", "A 64284-2023")</f>
        <v/>
      </c>
    </row>
    <row r="56" ht="15" customHeight="1">
      <c r="A56" t="inlineStr">
        <is>
          <t>A 19379-2024</t>
        </is>
      </c>
      <c r="B56" s="1" t="n">
        <v>45428</v>
      </c>
      <c r="C56" s="1" t="n">
        <v>46196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9.4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HYPERLINK("https://klasma.github.io/Logging_0780/artfynd/A 19379-2024 artfynd.xlsx", "A 19379-2024")</f>
        <v/>
      </c>
      <c r="T56">
        <f>HYPERLINK("https://klasma.github.io/Logging_0780/kartor/A 19379-2024 karta.png", "A 19379-2024")</f>
        <v/>
      </c>
      <c r="V56">
        <f>HYPERLINK("https://klasma.github.io/Logging_0780/klagomål/A 19379-2024 FSC-klagomål.docx", "A 19379-2024")</f>
        <v/>
      </c>
      <c r="W56">
        <f>HYPERLINK("https://klasma.github.io/Logging_0780/klagomålsmail/A 19379-2024 FSC-klagomål mail.docx", "A 19379-2024")</f>
        <v/>
      </c>
      <c r="X56">
        <f>HYPERLINK("https://klasma.github.io/Logging_0780/tillsyn/A 19379-2024 tillsynsbegäran.docx", "A 19379-2024")</f>
        <v/>
      </c>
      <c r="Y56">
        <f>HYPERLINK("https://klasma.github.io/Logging_0780/tillsynsmail/A 19379-2024 tillsynsbegäran mail.docx", "A 19379-2024")</f>
        <v/>
      </c>
    </row>
    <row r="57" ht="15" customHeight="1">
      <c r="A57" t="inlineStr">
        <is>
          <t>A 28084-2022</t>
        </is>
      </c>
      <c r="B57" s="1" t="n">
        <v>44746</v>
      </c>
      <c r="C57" s="1" t="n">
        <v>46196</v>
      </c>
      <c r="D57" t="inlineStr">
        <is>
          <t>KRONOBERGS LÄN</t>
        </is>
      </c>
      <c r="E57" t="inlineStr">
        <is>
          <t>VÄXJÖ</t>
        </is>
      </c>
      <c r="G57" t="n">
        <v>3.6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HYPERLINK("https://klasma.github.io/Logging_0780/artfynd/A 28084-2022 artfynd.xlsx", "A 28084-2022")</f>
        <v/>
      </c>
      <c r="T57">
        <f>HYPERLINK("https://klasma.github.io/Logging_0780/kartor/A 28084-2022 karta.png", "A 28084-2022")</f>
        <v/>
      </c>
      <c r="V57">
        <f>HYPERLINK("https://klasma.github.io/Logging_0780/klagomål/A 28084-2022 FSC-klagomål.docx", "A 28084-2022")</f>
        <v/>
      </c>
      <c r="W57">
        <f>HYPERLINK("https://klasma.github.io/Logging_0780/klagomålsmail/A 28084-2022 FSC-klagomål mail.docx", "A 28084-2022")</f>
        <v/>
      </c>
      <c r="X57">
        <f>HYPERLINK("https://klasma.github.io/Logging_0780/tillsyn/A 28084-2022 tillsynsbegäran.docx", "A 28084-2022")</f>
        <v/>
      </c>
      <c r="Y57">
        <f>HYPERLINK("https://klasma.github.io/Logging_0780/tillsynsmail/A 28084-2022 tillsynsbegäran mail.docx", "A 28084-2022")</f>
        <v/>
      </c>
    </row>
    <row r="58" ht="15" customHeight="1">
      <c r="A58" t="inlineStr">
        <is>
          <t>A 52833-2022</t>
        </is>
      </c>
      <c r="B58" s="1" t="n">
        <v>44872</v>
      </c>
      <c r="C58" s="1" t="n">
        <v>46196</v>
      </c>
      <c r="D58" t="inlineStr">
        <is>
          <t>KRONOBERGS LÄN</t>
        </is>
      </c>
      <c r="E58" t="inlineStr">
        <is>
          <t>VÄXJÖ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HYPERLINK("https://klasma.github.io/Logging_0780/artfynd/A 52833-2022 artfynd.xlsx", "A 52833-2022")</f>
        <v/>
      </c>
      <c r="T58">
        <f>HYPERLINK("https://klasma.github.io/Logging_0780/kartor/A 52833-2022 karta.png", "A 52833-2022")</f>
        <v/>
      </c>
      <c r="V58">
        <f>HYPERLINK("https://klasma.github.io/Logging_0780/klagomål/A 52833-2022 FSC-klagomål.docx", "A 52833-2022")</f>
        <v/>
      </c>
      <c r="W58">
        <f>HYPERLINK("https://klasma.github.io/Logging_0780/klagomålsmail/A 52833-2022 FSC-klagomål mail.docx", "A 52833-2022")</f>
        <v/>
      </c>
      <c r="X58">
        <f>HYPERLINK("https://klasma.github.io/Logging_0780/tillsyn/A 52833-2022 tillsynsbegäran.docx", "A 52833-2022")</f>
        <v/>
      </c>
      <c r="Y58">
        <f>HYPERLINK("https://klasma.github.io/Logging_0780/tillsynsmail/A 52833-2022 tillsynsbegäran mail.docx", "A 52833-2022")</f>
        <v/>
      </c>
    </row>
    <row r="59" ht="15" customHeight="1">
      <c r="A59" t="inlineStr">
        <is>
          <t>A 38036-2024</t>
        </is>
      </c>
      <c r="B59" s="1" t="n">
        <v>45544</v>
      </c>
      <c r="C59" s="1" t="n">
        <v>46196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HYPERLINK("https://klasma.github.io/Logging_0780/artfynd/A 38036-2024 artfynd.xlsx", "A 38036-2024")</f>
        <v/>
      </c>
      <c r="T59">
        <f>HYPERLINK("https://klasma.github.io/Logging_0780/kartor/A 38036-2024 karta.png", "A 38036-2024")</f>
        <v/>
      </c>
      <c r="V59">
        <f>HYPERLINK("https://klasma.github.io/Logging_0780/klagomål/A 38036-2024 FSC-klagomål.docx", "A 38036-2024")</f>
        <v/>
      </c>
      <c r="W59">
        <f>HYPERLINK("https://klasma.github.io/Logging_0780/klagomålsmail/A 38036-2024 FSC-klagomål mail.docx", "A 38036-2024")</f>
        <v/>
      </c>
      <c r="X59">
        <f>HYPERLINK("https://klasma.github.io/Logging_0780/tillsyn/A 38036-2024 tillsynsbegäran.docx", "A 38036-2024")</f>
        <v/>
      </c>
      <c r="Y59">
        <f>HYPERLINK("https://klasma.github.io/Logging_0780/tillsynsmail/A 38036-2024 tillsynsbegäran mail.docx", "A 38036-2024")</f>
        <v/>
      </c>
    </row>
    <row r="60" ht="15" customHeight="1">
      <c r="A60" t="inlineStr">
        <is>
          <t>A 16838-2025</t>
        </is>
      </c>
      <c r="B60" s="1" t="n">
        <v>45754</v>
      </c>
      <c r="C60" s="1" t="n">
        <v>46196</v>
      </c>
      <c r="D60" t="inlineStr">
        <is>
          <t>KRONOBERGS LÄN</t>
        </is>
      </c>
      <c r="E60" t="inlineStr">
        <is>
          <t>VÄXJÖ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Gullpudra</t>
        </is>
      </c>
      <c r="S60">
        <f>HYPERLINK("https://klasma.github.io/Logging_0780/artfynd/A 16838-2025 artfynd.xlsx", "A 16838-2025")</f>
        <v/>
      </c>
      <c r="T60">
        <f>HYPERLINK("https://klasma.github.io/Logging_0780/kartor/A 16838-2025 karta.png", "A 16838-2025")</f>
        <v/>
      </c>
      <c r="V60">
        <f>HYPERLINK("https://klasma.github.io/Logging_0780/klagomål/A 16838-2025 FSC-klagomål.docx", "A 16838-2025")</f>
        <v/>
      </c>
      <c r="W60">
        <f>HYPERLINK("https://klasma.github.io/Logging_0780/klagomålsmail/A 16838-2025 FSC-klagomål mail.docx", "A 16838-2025")</f>
        <v/>
      </c>
      <c r="X60">
        <f>HYPERLINK("https://klasma.github.io/Logging_0780/tillsyn/A 16838-2025 tillsynsbegäran.docx", "A 16838-2025")</f>
        <v/>
      </c>
      <c r="Y60">
        <f>HYPERLINK("https://klasma.github.io/Logging_0780/tillsynsmail/A 16838-2025 tillsynsbegäran mail.docx", "A 16838-2025")</f>
        <v/>
      </c>
    </row>
    <row r="61" ht="15" customHeight="1">
      <c r="A61" t="inlineStr">
        <is>
          <t>A 4819-2025</t>
        </is>
      </c>
      <c r="B61" s="1" t="n">
        <v>45688</v>
      </c>
      <c r="C61" s="1" t="n">
        <v>46196</v>
      </c>
      <c r="D61" t="inlineStr">
        <is>
          <t>KRONOBERGS LÄN</t>
        </is>
      </c>
      <c r="E61" t="inlineStr">
        <is>
          <t>VÄXJÖ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HYPERLINK("https://klasma.github.io/Logging_0780/artfynd/A 4819-2025 artfynd.xlsx", "A 4819-2025")</f>
        <v/>
      </c>
      <c r="T61">
        <f>HYPERLINK("https://klasma.github.io/Logging_0780/kartor/A 4819-2025 karta.png", "A 4819-2025")</f>
        <v/>
      </c>
      <c r="V61">
        <f>HYPERLINK("https://klasma.github.io/Logging_0780/klagomål/A 4819-2025 FSC-klagomål.docx", "A 4819-2025")</f>
        <v/>
      </c>
      <c r="W61">
        <f>HYPERLINK("https://klasma.github.io/Logging_0780/klagomålsmail/A 4819-2025 FSC-klagomål mail.docx", "A 4819-2025")</f>
        <v/>
      </c>
      <c r="X61">
        <f>HYPERLINK("https://klasma.github.io/Logging_0780/tillsyn/A 4819-2025 tillsynsbegäran.docx", "A 4819-2025")</f>
        <v/>
      </c>
      <c r="Y61">
        <f>HYPERLINK("https://klasma.github.io/Logging_0780/tillsynsmail/A 4819-2025 tillsynsbegäran mail.docx", "A 4819-2025")</f>
        <v/>
      </c>
    </row>
    <row r="62" ht="15" customHeight="1">
      <c r="A62" t="inlineStr">
        <is>
          <t>A 63249-2023</t>
        </is>
      </c>
      <c r="B62" s="1" t="n">
        <v>45273</v>
      </c>
      <c r="C62" s="1" t="n">
        <v>46196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HYPERLINK("https://klasma.github.io/Logging_0780/artfynd/A 63249-2023 artfynd.xlsx", "A 63249-2023")</f>
        <v/>
      </c>
      <c r="T62">
        <f>HYPERLINK("https://klasma.github.io/Logging_0780/kartor/A 63249-2023 karta.png", "A 63249-2023")</f>
        <v/>
      </c>
      <c r="V62">
        <f>HYPERLINK("https://klasma.github.io/Logging_0780/klagomål/A 63249-2023 FSC-klagomål.docx", "A 63249-2023")</f>
        <v/>
      </c>
      <c r="W62">
        <f>HYPERLINK("https://klasma.github.io/Logging_0780/klagomålsmail/A 63249-2023 FSC-klagomål mail.docx", "A 63249-2023")</f>
        <v/>
      </c>
      <c r="X62">
        <f>HYPERLINK("https://klasma.github.io/Logging_0780/tillsyn/A 63249-2023 tillsynsbegäran.docx", "A 63249-2023")</f>
        <v/>
      </c>
      <c r="Y62">
        <f>HYPERLINK("https://klasma.github.io/Logging_0780/tillsynsmail/A 63249-2023 tillsynsbegäran mail.docx", "A 63249-2023")</f>
        <v/>
      </c>
    </row>
    <row r="63" ht="15" customHeight="1">
      <c r="A63" t="inlineStr">
        <is>
          <t>A 36056-2024</t>
        </is>
      </c>
      <c r="B63" s="1" t="n">
        <v>45533</v>
      </c>
      <c r="C63" s="1" t="n">
        <v>46196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HYPERLINK("https://klasma.github.io/Logging_0780/artfynd/A 36056-2024 artfynd.xlsx", "A 36056-2024")</f>
        <v/>
      </c>
      <c r="T63">
        <f>HYPERLINK("https://klasma.github.io/Logging_0780/kartor/A 36056-2024 karta.png", "A 36056-2024")</f>
        <v/>
      </c>
      <c r="V63">
        <f>HYPERLINK("https://klasma.github.io/Logging_0780/klagomål/A 36056-2024 FSC-klagomål.docx", "A 36056-2024")</f>
        <v/>
      </c>
      <c r="W63">
        <f>HYPERLINK("https://klasma.github.io/Logging_0780/klagomålsmail/A 36056-2024 FSC-klagomål mail.docx", "A 36056-2024")</f>
        <v/>
      </c>
      <c r="X63">
        <f>HYPERLINK("https://klasma.github.io/Logging_0780/tillsyn/A 36056-2024 tillsynsbegäran.docx", "A 36056-2024")</f>
        <v/>
      </c>
      <c r="Y63">
        <f>HYPERLINK("https://klasma.github.io/Logging_0780/tillsynsmail/A 36056-2024 tillsynsbegäran mail.docx", "A 36056-2024")</f>
        <v/>
      </c>
    </row>
    <row r="64" ht="15" customHeight="1">
      <c r="A64" t="inlineStr">
        <is>
          <t>A 31667-2023</t>
        </is>
      </c>
      <c r="B64" s="1" t="n">
        <v>45098</v>
      </c>
      <c r="C64" s="1" t="n">
        <v>46196</v>
      </c>
      <c r="D64" t="inlineStr">
        <is>
          <t>KRONOBERGS LÄN</t>
        </is>
      </c>
      <c r="E64" t="inlineStr">
        <is>
          <t>VÄXJÖ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Hårklomossa</t>
        </is>
      </c>
      <c r="S64">
        <f>HYPERLINK("https://klasma.github.io/Logging_0780/artfynd/A 31667-2023 artfynd.xlsx", "A 31667-2023")</f>
        <v/>
      </c>
      <c r="T64">
        <f>HYPERLINK("https://klasma.github.io/Logging_0780/kartor/A 31667-2023 karta.png", "A 31667-2023")</f>
        <v/>
      </c>
      <c r="V64">
        <f>HYPERLINK("https://klasma.github.io/Logging_0780/klagomål/A 31667-2023 FSC-klagomål.docx", "A 31667-2023")</f>
        <v/>
      </c>
      <c r="W64">
        <f>HYPERLINK("https://klasma.github.io/Logging_0780/klagomålsmail/A 31667-2023 FSC-klagomål mail.docx", "A 31667-2023")</f>
        <v/>
      </c>
      <c r="X64">
        <f>HYPERLINK("https://klasma.github.io/Logging_0780/tillsyn/A 31667-2023 tillsynsbegäran.docx", "A 31667-2023")</f>
        <v/>
      </c>
      <c r="Y64">
        <f>HYPERLINK("https://klasma.github.io/Logging_0780/tillsynsmail/A 31667-2023 tillsynsbegäran mail.docx", "A 31667-2023")</f>
        <v/>
      </c>
    </row>
    <row r="65" ht="15" customHeight="1">
      <c r="A65" t="inlineStr">
        <is>
          <t>A 64278-2023</t>
        </is>
      </c>
      <c r="B65" s="1" t="n">
        <v>45280</v>
      </c>
      <c r="C65" s="1" t="n">
        <v>46196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HYPERLINK("https://klasma.github.io/Logging_0780/artfynd/A 64278-2023 artfynd.xlsx", "A 64278-2023")</f>
        <v/>
      </c>
      <c r="T65">
        <f>HYPERLINK("https://klasma.github.io/Logging_0780/kartor/A 64278-2023 karta.png", "A 64278-2023")</f>
        <v/>
      </c>
      <c r="V65">
        <f>HYPERLINK("https://klasma.github.io/Logging_0780/klagomål/A 64278-2023 FSC-klagomål.docx", "A 64278-2023")</f>
        <v/>
      </c>
      <c r="W65">
        <f>HYPERLINK("https://klasma.github.io/Logging_0780/klagomålsmail/A 64278-2023 FSC-klagomål mail.docx", "A 64278-2023")</f>
        <v/>
      </c>
      <c r="X65">
        <f>HYPERLINK("https://klasma.github.io/Logging_0780/tillsyn/A 64278-2023 tillsynsbegäran.docx", "A 64278-2023")</f>
        <v/>
      </c>
      <c r="Y65">
        <f>HYPERLINK("https://klasma.github.io/Logging_0780/tillsynsmail/A 64278-2023 tillsynsbegäran mail.docx", "A 64278-2023")</f>
        <v/>
      </c>
    </row>
    <row r="66" ht="15" customHeight="1">
      <c r="A66" t="inlineStr">
        <is>
          <t>A 10820-2024</t>
        </is>
      </c>
      <c r="B66" s="1" t="n">
        <v>45369</v>
      </c>
      <c r="C66" s="1" t="n">
        <v>46196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Grönsiska</t>
        </is>
      </c>
      <c r="S66">
        <f>HYPERLINK("https://klasma.github.io/Logging_0780/artfynd/A 10820-2024 artfynd.xlsx", "A 10820-2024")</f>
        <v/>
      </c>
      <c r="T66">
        <f>HYPERLINK("https://klasma.github.io/Logging_0780/kartor/A 10820-2024 karta.png", "A 10820-2024")</f>
        <v/>
      </c>
      <c r="V66">
        <f>HYPERLINK("https://klasma.github.io/Logging_0780/klagomål/A 10820-2024 FSC-klagomål.docx", "A 10820-2024")</f>
        <v/>
      </c>
      <c r="W66">
        <f>HYPERLINK("https://klasma.github.io/Logging_0780/klagomålsmail/A 10820-2024 FSC-klagomål mail.docx", "A 10820-2024")</f>
        <v/>
      </c>
      <c r="X66">
        <f>HYPERLINK("https://klasma.github.io/Logging_0780/tillsyn/A 10820-2024 tillsynsbegäran.docx", "A 10820-2024")</f>
        <v/>
      </c>
      <c r="Y66">
        <f>HYPERLINK("https://klasma.github.io/Logging_0780/tillsynsmail/A 10820-2024 tillsynsbegäran mail.docx", "A 10820-2024")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46196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46196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46196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66328-2021</t>
        </is>
      </c>
      <c r="B70" s="1" t="n">
        <v>44518</v>
      </c>
      <c r="C70" s="1" t="n">
        <v>46196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70395-2021</t>
        </is>
      </c>
      <c r="B71" s="1" t="n">
        <v>44536</v>
      </c>
      <c r="C71" s="1" t="n">
        <v>46196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44772-2021</t>
        </is>
      </c>
      <c r="B72" s="1" t="n">
        <v>44438</v>
      </c>
      <c r="C72" s="1" t="n">
        <v>46196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30757-2022</t>
        </is>
      </c>
      <c r="B73" s="1" t="n">
        <v>44764</v>
      </c>
      <c r="C73" s="1" t="n">
        <v>46196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46196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46196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66677-2021</t>
        </is>
      </c>
      <c r="B76" s="1" t="n">
        <v>44519</v>
      </c>
      <c r="C76" s="1" t="n">
        <v>46196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46196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38691-2022</t>
        </is>
      </c>
      <c r="B78" s="1" t="n">
        <v>44814</v>
      </c>
      <c r="C78" s="1" t="n">
        <v>46196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13379-2022</t>
        </is>
      </c>
      <c r="B79" s="1" t="n">
        <v>44645</v>
      </c>
      <c r="C79" s="1" t="n">
        <v>46196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46196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46196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46842-2021</t>
        </is>
      </c>
      <c r="B82" s="1" t="n">
        <v>44446</v>
      </c>
      <c r="C82" s="1" t="n">
        <v>46196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46196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46196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46196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68062-2021</t>
        </is>
      </c>
      <c r="B86" s="1" t="n">
        <v>44525</v>
      </c>
      <c r="C86" s="1" t="n">
        <v>46196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56544-2021</t>
        </is>
      </c>
      <c r="B87" s="1" t="n">
        <v>44480</v>
      </c>
      <c r="C87" s="1" t="n">
        <v>46196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46196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46196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</v>
      </c>
      <c r="C90" s="1" t="n">
        <v>46196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46196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46196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54147-2021</t>
        </is>
      </c>
      <c r="B93" s="1" t="n">
        <v>44470</v>
      </c>
      <c r="C93" s="1" t="n">
        <v>46196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46196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46196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46196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46196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46196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46196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46196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40697-2022</t>
        </is>
      </c>
      <c r="B102" s="1" t="n">
        <v>44820</v>
      </c>
      <c r="C102" s="1" t="n">
        <v>46196</v>
      </c>
      <c r="D102" t="inlineStr">
        <is>
          <t>KRONOBERGS LÄN</t>
        </is>
      </c>
      <c r="E102" t="inlineStr">
        <is>
          <t>VÄXJÖ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46196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46196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53683-2022</t>
        </is>
      </c>
      <c r="B105" s="1" t="n">
        <v>44880</v>
      </c>
      <c r="C105" s="1" t="n">
        <v>46196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46196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</v>
      </c>
      <c r="C107" s="1" t="n">
        <v>46196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46196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46196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46196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46196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46196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46196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46196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46196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</v>
      </c>
      <c r="C116" s="1" t="n">
        <v>46196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36089-2021</t>
        </is>
      </c>
      <c r="B117" s="1" t="n">
        <v>44389</v>
      </c>
      <c r="C117" s="1" t="n">
        <v>46196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46196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46196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46196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46196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46196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46196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46196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46196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46196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46196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46196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46196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7245-2022</t>
        </is>
      </c>
      <c r="B130" s="1" t="n">
        <v>44606</v>
      </c>
      <c r="C130" s="1" t="n">
        <v>46196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42005-2021</t>
        </is>
      </c>
      <c r="B131" s="1" t="n">
        <v>44426</v>
      </c>
      <c r="C131" s="1" t="n">
        <v>46196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54210-2021</t>
        </is>
      </c>
      <c r="B132" s="1" t="n">
        <v>44470</v>
      </c>
      <c r="C132" s="1" t="n">
        <v>46196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46196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46196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54874-2021</t>
        </is>
      </c>
      <c r="B135" s="1" t="n">
        <v>44474</v>
      </c>
      <c r="C135" s="1" t="n">
        <v>46196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39080-2021</t>
        </is>
      </c>
      <c r="B136" s="1" t="n">
        <v>44412</v>
      </c>
      <c r="C136" s="1" t="n">
        <v>46196</v>
      </c>
      <c r="D136" t="inlineStr">
        <is>
          <t>KRONOBERGS LÄN</t>
        </is>
      </c>
      <c r="E136" t="inlineStr">
        <is>
          <t>VÄXJÖ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40494-2021</t>
        </is>
      </c>
      <c r="B137" s="1" t="n">
        <v>44420</v>
      </c>
      <c r="C137" s="1" t="n">
        <v>46196</v>
      </c>
      <c r="D137" t="inlineStr">
        <is>
          <t>KRONOBERGS LÄN</t>
        </is>
      </c>
      <c r="E137" t="inlineStr">
        <is>
          <t>VÄXJÖ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46196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46196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46196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46196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46196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</v>
      </c>
      <c r="C143" s="1" t="n">
        <v>46196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42182-2021</t>
        </is>
      </c>
      <c r="B144" s="1" t="n">
        <v>44426</v>
      </c>
      <c r="C144" s="1" t="n">
        <v>46196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24448-2022</t>
        </is>
      </c>
      <c r="B145" s="1" t="n">
        <v>44726</v>
      </c>
      <c r="C145" s="1" t="n">
        <v>46196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53282-2021</t>
        </is>
      </c>
      <c r="B146" s="1" t="n">
        <v>44468</v>
      </c>
      <c r="C146" s="1" t="n">
        <v>46196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50231-2021</t>
        </is>
      </c>
      <c r="B147" s="1" t="n">
        <v>44457</v>
      </c>
      <c r="C147" s="1" t="n">
        <v>46196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46196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46196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46196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46196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</v>
      </c>
      <c r="C152" s="1" t="n">
        <v>46196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46196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</v>
      </c>
      <c r="C154" s="1" t="n">
        <v>46196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</v>
      </c>
      <c r="C155" s="1" t="n">
        <v>46196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69842-2021</t>
        </is>
      </c>
      <c r="B156" s="1" t="n">
        <v>44532</v>
      </c>
      <c r="C156" s="1" t="n">
        <v>46196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69844-2021</t>
        </is>
      </c>
      <c r="B157" s="1" t="n">
        <v>44532</v>
      </c>
      <c r="C157" s="1" t="n">
        <v>46196</v>
      </c>
      <c r="D157" t="inlineStr">
        <is>
          <t>KRONOBERGS LÄN</t>
        </is>
      </c>
      <c r="E157" t="inlineStr">
        <is>
          <t>VÄXJÖ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61339-2021</t>
        </is>
      </c>
      <c r="B158" s="1" t="n">
        <v>44498</v>
      </c>
      <c r="C158" s="1" t="n">
        <v>46196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46196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49037-2022</t>
        </is>
      </c>
      <c r="B160" s="1" t="n">
        <v>44860</v>
      </c>
      <c r="C160" s="1" t="n">
        <v>46196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5673-2022</t>
        </is>
      </c>
      <c r="B161" s="1" t="n">
        <v>44596</v>
      </c>
      <c r="C161" s="1" t="n">
        <v>46196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1580-2022</t>
        </is>
      </c>
      <c r="B162" s="1" t="n">
        <v>44573</v>
      </c>
      <c r="C162" s="1" t="n">
        <v>46196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22296-2022</t>
        </is>
      </c>
      <c r="B163" s="1" t="n">
        <v>44712</v>
      </c>
      <c r="C163" s="1" t="n">
        <v>46196</v>
      </c>
      <c r="D163" t="inlineStr">
        <is>
          <t>KRONOBERGS LÄN</t>
        </is>
      </c>
      <c r="E163" t="inlineStr">
        <is>
          <t>VÄXJÖ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2403-2022</t>
        </is>
      </c>
      <c r="B164" s="1" t="n">
        <v>44579</v>
      </c>
      <c r="C164" s="1" t="n">
        <v>46196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</v>
      </c>
      <c r="C165" s="1" t="n">
        <v>46196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44691-2021</t>
        </is>
      </c>
      <c r="B166" s="1" t="n">
        <v>44438</v>
      </c>
      <c r="C166" s="1" t="n">
        <v>46196</v>
      </c>
      <c r="D166" t="inlineStr">
        <is>
          <t>KRONOBERGS LÄN</t>
        </is>
      </c>
      <c r="E166" t="inlineStr">
        <is>
          <t>VÄXJÖ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31116-2022</t>
        </is>
      </c>
      <c r="B167" s="1" t="n">
        <v>44769</v>
      </c>
      <c r="C167" s="1" t="n">
        <v>46196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62160-2021</t>
        </is>
      </c>
      <c r="B168" s="1" t="n">
        <v>44502</v>
      </c>
      <c r="C168" s="1" t="n">
        <v>46196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38395-2022</t>
        </is>
      </c>
      <c r="B169" s="1" t="n">
        <v>44812</v>
      </c>
      <c r="C169" s="1" t="n">
        <v>46196</v>
      </c>
      <c r="D169" t="inlineStr">
        <is>
          <t>KRONOBERGS LÄN</t>
        </is>
      </c>
      <c r="E169" t="inlineStr">
        <is>
          <t>VÄXJÖ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48475-2021</t>
        </is>
      </c>
      <c r="B170" s="1" t="n">
        <v>44452</v>
      </c>
      <c r="C170" s="1" t="n">
        <v>46196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42468-2021</t>
        </is>
      </c>
      <c r="B171" s="1" t="n">
        <v>44427</v>
      </c>
      <c r="C171" s="1" t="n">
        <v>46196</v>
      </c>
      <c r="D171" t="inlineStr">
        <is>
          <t>KRONOBERGS LÄN</t>
        </is>
      </c>
      <c r="E171" t="inlineStr">
        <is>
          <t>VÄXJÖ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58824-2021</t>
        </is>
      </c>
      <c r="B172" s="1" t="n">
        <v>44489</v>
      </c>
      <c r="C172" s="1" t="n">
        <v>46196</v>
      </c>
      <c r="D172" t="inlineStr">
        <is>
          <t>KRONOBERGS LÄN</t>
        </is>
      </c>
      <c r="E172" t="inlineStr">
        <is>
          <t>VÄXJÖ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58827-2021</t>
        </is>
      </c>
      <c r="B173" s="1" t="n">
        <v>44489</v>
      </c>
      <c r="C173" s="1" t="n">
        <v>46196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57276-2021</t>
        </is>
      </c>
      <c r="B174" s="1" t="n">
        <v>44483</v>
      </c>
      <c r="C174" s="1" t="n">
        <v>46196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63278-2021</t>
        </is>
      </c>
      <c r="B175" s="1" t="n">
        <v>44508</v>
      </c>
      <c r="C175" s="1" t="n">
        <v>46196</v>
      </c>
      <c r="D175" t="inlineStr">
        <is>
          <t>KRONOBERGS LÄN</t>
        </is>
      </c>
      <c r="E175" t="inlineStr">
        <is>
          <t>VÄXJÖ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70646-2021</t>
        </is>
      </c>
      <c r="B176" s="1" t="n">
        <v>44537</v>
      </c>
      <c r="C176" s="1" t="n">
        <v>46196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1797-2022</t>
        </is>
      </c>
      <c r="B177" s="1" t="n">
        <v>44574</v>
      </c>
      <c r="C177" s="1" t="n">
        <v>46196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43910-2021</t>
        </is>
      </c>
      <c r="B178" s="1" t="n">
        <v>44434</v>
      </c>
      <c r="C178" s="1" t="n">
        <v>46196</v>
      </c>
      <c r="D178" t="inlineStr">
        <is>
          <t>KRONOBERGS LÄN</t>
        </is>
      </c>
      <c r="E178" t="inlineStr">
        <is>
          <t>VÄXJÖ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70675-2021</t>
        </is>
      </c>
      <c r="B179" s="1" t="n">
        <v>44537</v>
      </c>
      <c r="C179" s="1" t="n">
        <v>46196</v>
      </c>
      <c r="D179" t="inlineStr">
        <is>
          <t>KRONOBERGS LÄN</t>
        </is>
      </c>
      <c r="E179" t="inlineStr">
        <is>
          <t>VÄXJÖ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924-2022</t>
        </is>
      </c>
      <c r="B180" s="1" t="n">
        <v>44571</v>
      </c>
      <c r="C180" s="1" t="n">
        <v>46196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58916-2021</t>
        </is>
      </c>
      <c r="B181" s="1" t="n">
        <v>44489</v>
      </c>
      <c r="C181" s="1" t="n">
        <v>46196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46196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7219-2022</t>
        </is>
      </c>
      <c r="B183" s="1" t="n">
        <v>44603</v>
      </c>
      <c r="C183" s="1" t="n">
        <v>46196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5869-2022</t>
        </is>
      </c>
      <c r="B184" s="1" t="n">
        <v>44596</v>
      </c>
      <c r="C184" s="1" t="n">
        <v>46196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46196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54389-2021</t>
        </is>
      </c>
      <c r="B186" s="1" t="n">
        <v>44473</v>
      </c>
      <c r="C186" s="1" t="n">
        <v>46196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</v>
      </c>
      <c r="C187" s="1" t="n">
        <v>46196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54852-2021</t>
        </is>
      </c>
      <c r="B188" s="1" t="n">
        <v>44474</v>
      </c>
      <c r="C188" s="1" t="n">
        <v>46196</v>
      </c>
      <c r="D188" t="inlineStr">
        <is>
          <t>KRONOBERGS LÄN</t>
        </is>
      </c>
      <c r="E188" t="inlineStr">
        <is>
          <t>VÄXJÖ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13325-2024</t>
        </is>
      </c>
      <c r="B189" s="1" t="n">
        <v>45386</v>
      </c>
      <c r="C189" s="1" t="n">
        <v>46196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40015-2022</t>
        </is>
      </c>
      <c r="B190" s="1" t="n">
        <v>44820</v>
      </c>
      <c r="C190" s="1" t="n">
        <v>46196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40017-2022</t>
        </is>
      </c>
      <c r="B191" s="1" t="n">
        <v>44820</v>
      </c>
      <c r="C191" s="1" t="n">
        <v>46196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58475-2022</t>
        </is>
      </c>
      <c r="B192" s="1" t="n">
        <v>44894</v>
      </c>
      <c r="C192" s="1" t="n">
        <v>46196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35913-2022</t>
        </is>
      </c>
      <c r="B193" s="1" t="n">
        <v>44802</v>
      </c>
      <c r="C193" s="1" t="n">
        <v>46196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54872-2023</t>
        </is>
      </c>
      <c r="B194" s="1" t="n">
        <v>45236</v>
      </c>
      <c r="C194" s="1" t="n">
        <v>46196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46196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</v>
      </c>
      <c r="C196" s="1" t="n">
        <v>46196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1587-2022</t>
        </is>
      </c>
      <c r="B197" s="1" t="n">
        <v>44573</v>
      </c>
      <c r="C197" s="1" t="n">
        <v>46196</v>
      </c>
      <c r="D197" t="inlineStr">
        <is>
          <t>KRONOBERGS LÄN</t>
        </is>
      </c>
      <c r="E197" t="inlineStr">
        <is>
          <t>VÄXJÖ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18058-2024</t>
        </is>
      </c>
      <c r="B198" s="1" t="n">
        <v>45420</v>
      </c>
      <c r="C198" s="1" t="n">
        <v>46196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28218-2024</t>
        </is>
      </c>
      <c r="B199" s="1" t="n">
        <v>45477</v>
      </c>
      <c r="C199" s="1" t="n">
        <v>46196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24556-2024</t>
        </is>
      </c>
      <c r="B200" s="1" t="n">
        <v>45460</v>
      </c>
      <c r="C200" s="1" t="n">
        <v>46196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49001-2024</t>
        </is>
      </c>
      <c r="B201" s="1" t="n">
        <v>45594</v>
      </c>
      <c r="C201" s="1" t="n">
        <v>46196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49005-2024</t>
        </is>
      </c>
      <c r="B202" s="1" t="n">
        <v>45594</v>
      </c>
      <c r="C202" s="1" t="n">
        <v>46196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49009-2024</t>
        </is>
      </c>
      <c r="B203" s="1" t="n">
        <v>45594</v>
      </c>
      <c r="C203" s="1" t="n">
        <v>46196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49014-2024</t>
        </is>
      </c>
      <c r="B204" s="1" t="n">
        <v>45594</v>
      </c>
      <c r="C204" s="1" t="n">
        <v>46196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49015-2024</t>
        </is>
      </c>
      <c r="B205" s="1" t="n">
        <v>45594</v>
      </c>
      <c r="C205" s="1" t="n">
        <v>46196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6934-2023</t>
        </is>
      </c>
      <c r="B206" s="1" t="n">
        <v>44967</v>
      </c>
      <c r="C206" s="1" t="n">
        <v>46196</v>
      </c>
      <c r="D206" t="inlineStr">
        <is>
          <t>KRONOBERGS LÄN</t>
        </is>
      </c>
      <c r="E206" t="inlineStr">
        <is>
          <t>VÄXJÖ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62164-2021</t>
        </is>
      </c>
      <c r="B207" s="1" t="n">
        <v>44502</v>
      </c>
      <c r="C207" s="1" t="n">
        <v>46196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9755-2025</t>
        </is>
      </c>
      <c r="B208" s="1" t="n">
        <v>45715</v>
      </c>
      <c r="C208" s="1" t="n">
        <v>46196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4320-2024</t>
        </is>
      </c>
      <c r="B209" s="1" t="n">
        <v>45324</v>
      </c>
      <c r="C209" s="1" t="n">
        <v>46196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2023-2025</t>
        </is>
      </c>
      <c r="B210" s="1" t="n">
        <v>45672</v>
      </c>
      <c r="C210" s="1" t="n">
        <v>46196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49006-2024</t>
        </is>
      </c>
      <c r="B211" s="1" t="n">
        <v>45594</v>
      </c>
      <c r="C211" s="1" t="n">
        <v>46196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49026-2024</t>
        </is>
      </c>
      <c r="B212" s="1" t="n">
        <v>45594</v>
      </c>
      <c r="C212" s="1" t="n">
        <v>46196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40249-2024</t>
        </is>
      </c>
      <c r="B213" s="1" t="n">
        <v>45554</v>
      </c>
      <c r="C213" s="1" t="n">
        <v>46196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70671-2021</t>
        </is>
      </c>
      <c r="B214" s="1" t="n">
        <v>44537</v>
      </c>
      <c r="C214" s="1" t="n">
        <v>46196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30755-2022</t>
        </is>
      </c>
      <c r="B215" s="1" t="n">
        <v>44764</v>
      </c>
      <c r="C215" s="1" t="n">
        <v>46196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33005-2024</t>
        </is>
      </c>
      <c r="B216" s="1" t="n">
        <v>45517</v>
      </c>
      <c r="C216" s="1" t="n">
        <v>46196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18381-2025</t>
        </is>
      </c>
      <c r="B217" s="1" t="n">
        <v>45762</v>
      </c>
      <c r="C217" s="1" t="n">
        <v>46196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40674-2024</t>
        </is>
      </c>
      <c r="B218" s="1" t="n">
        <v>45558</v>
      </c>
      <c r="C218" s="1" t="n">
        <v>46196</v>
      </c>
      <c r="D218" t="inlineStr">
        <is>
          <t>KRONOBERGS LÄN</t>
        </is>
      </c>
      <c r="E218" t="inlineStr">
        <is>
          <t>VÄXJÖ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20382-2025</t>
        </is>
      </c>
      <c r="B219" s="1" t="n">
        <v>45775</v>
      </c>
      <c r="C219" s="1" t="n">
        <v>46196</v>
      </c>
      <c r="D219" t="inlineStr">
        <is>
          <t>KRONOBERGS LÄN</t>
        </is>
      </c>
      <c r="E219" t="inlineStr">
        <is>
          <t>VÄXJÖ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20397-2023</t>
        </is>
      </c>
      <c r="B220" s="1" t="n">
        <v>45056</v>
      </c>
      <c r="C220" s="1" t="n">
        <v>46196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20478-2023</t>
        </is>
      </c>
      <c r="B221" s="1" t="n">
        <v>45057</v>
      </c>
      <c r="C221" s="1" t="n">
        <v>46196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3280-2025</t>
        </is>
      </c>
      <c r="B222" s="1" t="n">
        <v>45679</v>
      </c>
      <c r="C222" s="1" t="n">
        <v>46196</v>
      </c>
      <c r="D222" t="inlineStr">
        <is>
          <t>KRONOBERGS LÄN</t>
        </is>
      </c>
      <c r="E222" t="inlineStr">
        <is>
          <t>VÄXJÖ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14883-2022</t>
        </is>
      </c>
      <c r="B223" s="1" t="n">
        <v>44656</v>
      </c>
      <c r="C223" s="1" t="n">
        <v>46196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10566-2023</t>
        </is>
      </c>
      <c r="B224" s="1" t="n">
        <v>44988</v>
      </c>
      <c r="C224" s="1" t="n">
        <v>46196</v>
      </c>
      <c r="D224" t="inlineStr">
        <is>
          <t>KRONOBERGS LÄN</t>
        </is>
      </c>
      <c r="E224" t="inlineStr">
        <is>
          <t>VÄXJÖ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7251-2023</t>
        </is>
      </c>
      <c r="B225" s="1" t="n">
        <v>44970</v>
      </c>
      <c r="C225" s="1" t="n">
        <v>46196</v>
      </c>
      <c r="D225" t="inlineStr">
        <is>
          <t>KRONOBERGS LÄN</t>
        </is>
      </c>
      <c r="E225" t="inlineStr">
        <is>
          <t>VÄXJÖ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42758-2023</t>
        </is>
      </c>
      <c r="B226" s="1" t="n">
        <v>45181</v>
      </c>
      <c r="C226" s="1" t="n">
        <v>46196</v>
      </c>
      <c r="D226" t="inlineStr">
        <is>
          <t>KRONOBERGS LÄN</t>
        </is>
      </c>
      <c r="E226" t="inlineStr">
        <is>
          <t>VÄXJÖ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36390-2023</t>
        </is>
      </c>
      <c r="B227" s="1" t="n">
        <v>45152</v>
      </c>
      <c r="C227" s="1" t="n">
        <v>46196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5093-2024</t>
        </is>
      </c>
      <c r="B228" s="1" t="n">
        <v>45330</v>
      </c>
      <c r="C228" s="1" t="n">
        <v>46196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10955-2023</t>
        </is>
      </c>
      <c r="B229" s="1" t="n">
        <v>44991</v>
      </c>
      <c r="C229" s="1" t="n">
        <v>46196</v>
      </c>
      <c r="D229" t="inlineStr">
        <is>
          <t>KRONOBERGS LÄN</t>
        </is>
      </c>
      <c r="E229" t="inlineStr">
        <is>
          <t>VÄXJÖ</t>
        </is>
      </c>
      <c r="G229" t="n">
        <v>24.7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57932-2022</t>
        </is>
      </c>
      <c r="B230" s="1" t="n">
        <v>44900</v>
      </c>
      <c r="C230" s="1" t="n">
        <v>46196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14737-2024</t>
        </is>
      </c>
      <c r="B231" s="1" t="n">
        <v>45397</v>
      </c>
      <c r="C231" s="1" t="n">
        <v>46196</v>
      </c>
      <c r="D231" t="inlineStr">
        <is>
          <t>KRONOBERGS LÄN</t>
        </is>
      </c>
      <c r="E231" t="inlineStr">
        <is>
          <t>VÄXJÖ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3879-2024</t>
        </is>
      </c>
      <c r="B232" s="1" t="n">
        <v>45322</v>
      </c>
      <c r="C232" s="1" t="n">
        <v>46196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33075-2024</t>
        </is>
      </c>
      <c r="B233" s="1" t="n">
        <v>45517</v>
      </c>
      <c r="C233" s="1" t="n">
        <v>46196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22441-2022</t>
        </is>
      </c>
      <c r="B234" s="1" t="n">
        <v>44713</v>
      </c>
      <c r="C234" s="1" t="n">
        <v>46196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9001-2023</t>
        </is>
      </c>
      <c r="B235" s="1" t="n">
        <v>44979</v>
      </c>
      <c r="C235" s="1" t="n">
        <v>46196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38172-2023</t>
        </is>
      </c>
      <c r="B236" s="1" t="n">
        <v>45161</v>
      </c>
      <c r="C236" s="1" t="n">
        <v>46196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36235-2024</t>
        </is>
      </c>
      <c r="B237" s="1" t="n">
        <v>45534</v>
      </c>
      <c r="C237" s="1" t="n">
        <v>46196</v>
      </c>
      <c r="D237" t="inlineStr">
        <is>
          <t>KRONOBERGS LÄN</t>
        </is>
      </c>
      <c r="E237" t="inlineStr">
        <is>
          <t>VÄXJÖ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21931-2025</t>
        </is>
      </c>
      <c r="B238" s="1" t="n">
        <v>45784</v>
      </c>
      <c r="C238" s="1" t="n">
        <v>46196</v>
      </c>
      <c r="D238" t="inlineStr">
        <is>
          <t>KRONOBERGS LÄN</t>
        </is>
      </c>
      <c r="E238" t="inlineStr">
        <is>
          <t>VÄXJÖ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56213-2023</t>
        </is>
      </c>
      <c r="B239" s="1" t="n">
        <v>45240</v>
      </c>
      <c r="C239" s="1" t="n">
        <v>46196</v>
      </c>
      <c r="D239" t="inlineStr">
        <is>
          <t>KRONOBERGS LÄN</t>
        </is>
      </c>
      <c r="E239" t="inlineStr">
        <is>
          <t>VÄXJÖ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56864-2022</t>
        </is>
      </c>
      <c r="B240" s="1" t="n">
        <v>44894</v>
      </c>
      <c r="C240" s="1" t="n">
        <v>46196</v>
      </c>
      <c r="D240" t="inlineStr">
        <is>
          <t>KRONOBERGS LÄN</t>
        </is>
      </c>
      <c r="E240" t="inlineStr">
        <is>
          <t>VÄXJÖ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29978-2023</t>
        </is>
      </c>
      <c r="B241" s="1" t="n">
        <v>45108</v>
      </c>
      <c r="C241" s="1" t="n">
        <v>46196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32246-2022</t>
        </is>
      </c>
      <c r="B242" s="1" t="n">
        <v>44781</v>
      </c>
      <c r="C242" s="1" t="n">
        <v>46196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59977-2024</t>
        </is>
      </c>
      <c r="B243" s="1" t="n">
        <v>45642</v>
      </c>
      <c r="C243" s="1" t="n">
        <v>46196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50703-2025</t>
        </is>
      </c>
      <c r="B244" s="1" t="n">
        <v>45946</v>
      </c>
      <c r="C244" s="1" t="n">
        <v>46196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51410-2025</t>
        </is>
      </c>
      <c r="B245" s="1" t="n">
        <v>45950</v>
      </c>
      <c r="C245" s="1" t="n">
        <v>46196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51662-2023</t>
        </is>
      </c>
      <c r="B246" s="1" t="n">
        <v>45222</v>
      </c>
      <c r="C246" s="1" t="n">
        <v>46196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45893-2025</t>
        </is>
      </c>
      <c r="B247" s="1" t="n">
        <v>45923</v>
      </c>
      <c r="C247" s="1" t="n">
        <v>46196</v>
      </c>
      <c r="D247" t="inlineStr">
        <is>
          <t>KRONOBERGS LÄN</t>
        </is>
      </c>
      <c r="E247" t="inlineStr">
        <is>
          <t>VÄXJÖ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16756-2025</t>
        </is>
      </c>
      <c r="B248" s="1" t="n">
        <v>45754</v>
      </c>
      <c r="C248" s="1" t="n">
        <v>46196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55517-2024</t>
        </is>
      </c>
      <c r="B249" s="1" t="n">
        <v>45622</v>
      </c>
      <c r="C249" s="1" t="n">
        <v>46196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65106-2023</t>
        </is>
      </c>
      <c r="B250" s="1" t="n">
        <v>45288</v>
      </c>
      <c r="C250" s="1" t="n">
        <v>46196</v>
      </c>
      <c r="D250" t="inlineStr">
        <is>
          <t>KRONOBERGS LÄN</t>
        </is>
      </c>
      <c r="E250" t="inlineStr">
        <is>
          <t>VÄXJÖ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53240-2023</t>
        </is>
      </c>
      <c r="B251" s="1" t="n">
        <v>45229</v>
      </c>
      <c r="C251" s="1" t="n">
        <v>46196</v>
      </c>
      <c r="D251" t="inlineStr">
        <is>
          <t>KRONOBERGS LÄN</t>
        </is>
      </c>
      <c r="E251" t="inlineStr">
        <is>
          <t>VÄXJÖ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63846-2023</t>
        </is>
      </c>
      <c r="B252" s="1" t="n">
        <v>45278</v>
      </c>
      <c r="C252" s="1" t="n">
        <v>46196</v>
      </c>
      <c r="D252" t="inlineStr">
        <is>
          <t>KRONOBERGS LÄN</t>
        </is>
      </c>
      <c r="E252" t="inlineStr">
        <is>
          <t>VÄXJÖ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53275-2024</t>
        </is>
      </c>
      <c r="B253" s="1" t="n">
        <v>45614</v>
      </c>
      <c r="C253" s="1" t="n">
        <v>46196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51921-2025</t>
        </is>
      </c>
      <c r="B254" s="1" t="n">
        <v>45952</v>
      </c>
      <c r="C254" s="1" t="n">
        <v>46196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9902-2025</t>
        </is>
      </c>
      <c r="B255" s="1" t="n">
        <v>45716</v>
      </c>
      <c r="C255" s="1" t="n">
        <v>46196</v>
      </c>
      <c r="D255" t="inlineStr">
        <is>
          <t>KRONOBERGS LÄN</t>
        </is>
      </c>
      <c r="E255" t="inlineStr">
        <is>
          <t>VÄXJÖ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69748-2021</t>
        </is>
      </c>
      <c r="B256" s="1" t="n">
        <v>44532</v>
      </c>
      <c r="C256" s="1" t="n">
        <v>46196</v>
      </c>
      <c r="D256" t="inlineStr">
        <is>
          <t>KRONOBERGS LÄN</t>
        </is>
      </c>
      <c r="E256" t="inlineStr">
        <is>
          <t>VÄXJÖ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52191-2024</t>
        </is>
      </c>
      <c r="B257" s="1" t="n">
        <v>45608</v>
      </c>
      <c r="C257" s="1" t="n">
        <v>46196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38582-2025</t>
        </is>
      </c>
      <c r="B258" s="1" t="n">
        <v>45884</v>
      </c>
      <c r="C258" s="1" t="n">
        <v>46196</v>
      </c>
      <c r="D258" t="inlineStr">
        <is>
          <t>KRONOBERGS LÄN</t>
        </is>
      </c>
      <c r="E258" t="inlineStr">
        <is>
          <t>VÄXJÖ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22766-2025</t>
        </is>
      </c>
      <c r="B259" s="1" t="n">
        <v>45789</v>
      </c>
      <c r="C259" s="1" t="n">
        <v>46196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16990-2023</t>
        </is>
      </c>
      <c r="B260" s="1" t="n">
        <v>45033</v>
      </c>
      <c r="C260" s="1" t="n">
        <v>46196</v>
      </c>
      <c r="D260" t="inlineStr">
        <is>
          <t>KRONOBERGS LÄN</t>
        </is>
      </c>
      <c r="E260" t="inlineStr">
        <is>
          <t>VÄXJÖ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64292-2023</t>
        </is>
      </c>
      <c r="B261" s="1" t="n">
        <v>45280</v>
      </c>
      <c r="C261" s="1" t="n">
        <v>46196</v>
      </c>
      <c r="D261" t="inlineStr">
        <is>
          <t>KRONOBERGS LÄN</t>
        </is>
      </c>
      <c r="E261" t="inlineStr">
        <is>
          <t>VÄXJÖ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52564-2023</t>
        </is>
      </c>
      <c r="B262" s="1" t="n">
        <v>45225</v>
      </c>
      <c r="C262" s="1" t="n">
        <v>46196</v>
      </c>
      <c r="D262" t="inlineStr">
        <is>
          <t>KRONOBERGS LÄN</t>
        </is>
      </c>
      <c r="E262" t="inlineStr">
        <is>
          <t>VÄXJÖ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33204-2023</t>
        </is>
      </c>
      <c r="B263" s="1" t="n">
        <v>45127</v>
      </c>
      <c r="C263" s="1" t="n">
        <v>46196</v>
      </c>
      <c r="D263" t="inlineStr">
        <is>
          <t>KRONOBERGS LÄN</t>
        </is>
      </c>
      <c r="E263" t="inlineStr">
        <is>
          <t>VÄXJÖ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53295-2025</t>
        </is>
      </c>
      <c r="B264" s="1" t="n">
        <v>45958</v>
      </c>
      <c r="C264" s="1" t="n">
        <v>46196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9901-2025</t>
        </is>
      </c>
      <c r="B265" s="1" t="n">
        <v>45716</v>
      </c>
      <c r="C265" s="1" t="n">
        <v>46196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23203-2025</t>
        </is>
      </c>
      <c r="B266" s="1" t="n">
        <v>45791</v>
      </c>
      <c r="C266" s="1" t="n">
        <v>46196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53685-2022</t>
        </is>
      </c>
      <c r="B267" s="1" t="n">
        <v>44880</v>
      </c>
      <c r="C267" s="1" t="n">
        <v>46196</v>
      </c>
      <c r="D267" t="inlineStr">
        <is>
          <t>KRONOBERGS LÄN</t>
        </is>
      </c>
      <c r="E267" t="inlineStr">
        <is>
          <t>VÄXJÖ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50916-2025</t>
        </is>
      </c>
      <c r="B268" s="1" t="n">
        <v>45946</v>
      </c>
      <c r="C268" s="1" t="n">
        <v>46196</v>
      </c>
      <c r="D268" t="inlineStr">
        <is>
          <t>KRONOBERGS LÄN</t>
        </is>
      </c>
      <c r="E268" t="inlineStr">
        <is>
          <t>VÄXJÖ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52312-2025</t>
        </is>
      </c>
      <c r="B269" s="1" t="n">
        <v>45953</v>
      </c>
      <c r="C269" s="1" t="n">
        <v>46196</v>
      </c>
      <c r="D269" t="inlineStr">
        <is>
          <t>KRONOBERGS LÄN</t>
        </is>
      </c>
      <c r="E269" t="inlineStr">
        <is>
          <t>VÄXJÖ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58060-2021</t>
        </is>
      </c>
      <c r="B270" s="1" t="n">
        <v>44487</v>
      </c>
      <c r="C270" s="1" t="n">
        <v>46196</v>
      </c>
      <c r="D270" t="inlineStr">
        <is>
          <t>KRONOBERGS LÄN</t>
        </is>
      </c>
      <c r="E270" t="inlineStr">
        <is>
          <t>VÄXJÖ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54182-2025</t>
        </is>
      </c>
      <c r="B271" s="1" t="n">
        <v>45964</v>
      </c>
      <c r="C271" s="1" t="n">
        <v>46196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39311-2025</t>
        </is>
      </c>
      <c r="B272" s="1" t="n">
        <v>45889</v>
      </c>
      <c r="C272" s="1" t="n">
        <v>46196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6809-2022</t>
        </is>
      </c>
      <c r="B273" s="1" t="n">
        <v>44602</v>
      </c>
      <c r="C273" s="1" t="n">
        <v>46196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46178-2025</t>
        </is>
      </c>
      <c r="B274" s="1" t="n">
        <v>45924</v>
      </c>
      <c r="C274" s="1" t="n">
        <v>46196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72857-2021</t>
        </is>
      </c>
      <c r="B275" s="1" t="n">
        <v>44547</v>
      </c>
      <c r="C275" s="1" t="n">
        <v>46196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39712-2025</t>
        </is>
      </c>
      <c r="B276" s="1" t="n">
        <v>45890</v>
      </c>
      <c r="C276" s="1" t="n">
        <v>46196</v>
      </c>
      <c r="D276" t="inlineStr">
        <is>
          <t>KRONOBERGS LÄN</t>
        </is>
      </c>
      <c r="E276" t="inlineStr">
        <is>
          <t>VÄXJÖ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40317-2025</t>
        </is>
      </c>
      <c r="B277" s="1" t="n">
        <v>45895</v>
      </c>
      <c r="C277" s="1" t="n">
        <v>46196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40058-2025</t>
        </is>
      </c>
      <c r="B278" s="1" t="n">
        <v>45894</v>
      </c>
      <c r="C278" s="1" t="n">
        <v>46196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24294-2025</t>
        </is>
      </c>
      <c r="B279" s="1" t="n">
        <v>45797</v>
      </c>
      <c r="C279" s="1" t="n">
        <v>46196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55459-2025</t>
        </is>
      </c>
      <c r="B280" s="1" t="n">
        <v>45971</v>
      </c>
      <c r="C280" s="1" t="n">
        <v>46196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35534-2025</t>
        </is>
      </c>
      <c r="B281" s="1" t="n">
        <v>45856</v>
      </c>
      <c r="C281" s="1" t="n">
        <v>46196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24041-2025</t>
        </is>
      </c>
      <c r="B282" s="1" t="n">
        <v>45796</v>
      </c>
      <c r="C282" s="1" t="n">
        <v>46196</v>
      </c>
      <c r="D282" t="inlineStr">
        <is>
          <t>KRONOBERGS LÄN</t>
        </is>
      </c>
      <c r="E282" t="inlineStr">
        <is>
          <t>VÄXJÖ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40642-2022</t>
        </is>
      </c>
      <c r="B283" s="1" t="n">
        <v>44824</v>
      </c>
      <c r="C283" s="1" t="n">
        <v>46196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44564-2024</t>
        </is>
      </c>
      <c r="B284" s="1" t="n">
        <v>45574</v>
      </c>
      <c r="C284" s="1" t="n">
        <v>46196</v>
      </c>
      <c r="D284" t="inlineStr">
        <is>
          <t>KRONOBERGS LÄN</t>
        </is>
      </c>
      <c r="E284" t="inlineStr">
        <is>
          <t>VÄXJÖ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18998-2025</t>
        </is>
      </c>
      <c r="B285" s="1" t="n">
        <v>45764</v>
      </c>
      <c r="C285" s="1" t="n">
        <v>46196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40875-2025</t>
        </is>
      </c>
      <c r="B286" s="1" t="n">
        <v>45897</v>
      </c>
      <c r="C286" s="1" t="n">
        <v>46196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55962-2025</t>
        </is>
      </c>
      <c r="B287" s="1" t="n">
        <v>45973</v>
      </c>
      <c r="C287" s="1" t="n">
        <v>46196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9960-2022</t>
        </is>
      </c>
      <c r="B288" s="1" t="n">
        <v>44620</v>
      </c>
      <c r="C288" s="1" t="n">
        <v>46196</v>
      </c>
      <c r="D288" t="inlineStr">
        <is>
          <t>KRONOBERGS LÄN</t>
        </is>
      </c>
      <c r="E288" t="inlineStr">
        <is>
          <t>VÄXJÖ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56068-2025</t>
        </is>
      </c>
      <c r="B289" s="1" t="n">
        <v>45973</v>
      </c>
      <c r="C289" s="1" t="n">
        <v>46196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25593-2025</t>
        </is>
      </c>
      <c r="B290" s="1" t="n">
        <v>45803</v>
      </c>
      <c r="C290" s="1" t="n">
        <v>46196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42002-2024</t>
        </is>
      </c>
      <c r="B291" s="1" t="n">
        <v>45561</v>
      </c>
      <c r="C291" s="1" t="n">
        <v>46196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56821-2022</t>
        </is>
      </c>
      <c r="B292" s="1" t="n">
        <v>44894</v>
      </c>
      <c r="C292" s="1" t="n">
        <v>46196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56472-2025</t>
        </is>
      </c>
      <c r="B293" s="1" t="n">
        <v>45975</v>
      </c>
      <c r="C293" s="1" t="n">
        <v>46196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56464-2025</t>
        </is>
      </c>
      <c r="B294" s="1" t="n">
        <v>45975</v>
      </c>
      <c r="C294" s="1" t="n">
        <v>46196</v>
      </c>
      <c r="D294" t="inlineStr">
        <is>
          <t>KRONOBERGS LÄN</t>
        </is>
      </c>
      <c r="E294" t="inlineStr">
        <is>
          <t>VÄXJÖ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37694-2024</t>
        </is>
      </c>
      <c r="B295" s="1" t="n">
        <v>45541</v>
      </c>
      <c r="C295" s="1" t="n">
        <v>46196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37755-2024</t>
        </is>
      </c>
      <c r="B296" s="1" t="n">
        <v>45541</v>
      </c>
      <c r="C296" s="1" t="n">
        <v>46196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6133-2022</t>
        </is>
      </c>
      <c r="B297" s="1" t="n">
        <v>44599</v>
      </c>
      <c r="C297" s="1" t="n">
        <v>46196</v>
      </c>
      <c r="D297" t="inlineStr">
        <is>
          <t>KRONOBERGS LÄN</t>
        </is>
      </c>
      <c r="E297" t="inlineStr">
        <is>
          <t>VÄXJÖ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41823-2025</t>
        </is>
      </c>
      <c r="B298" s="1" t="n">
        <v>45902</v>
      </c>
      <c r="C298" s="1" t="n">
        <v>46196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26801-2025</t>
        </is>
      </c>
      <c r="B299" s="1" t="n">
        <v>45810</v>
      </c>
      <c r="C299" s="1" t="n">
        <v>46196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10061-2025</t>
        </is>
      </c>
      <c r="B300" s="1" t="n">
        <v>45719</v>
      </c>
      <c r="C300" s="1" t="n">
        <v>46196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61187-2024</t>
        </is>
      </c>
      <c r="B301" s="1" t="n">
        <v>45645</v>
      </c>
      <c r="C301" s="1" t="n">
        <v>46196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32005-2025</t>
        </is>
      </c>
      <c r="B302" s="1" t="n">
        <v>45835</v>
      </c>
      <c r="C302" s="1" t="n">
        <v>46196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41817-2025</t>
        </is>
      </c>
      <c r="B303" s="1" t="n">
        <v>45902</v>
      </c>
      <c r="C303" s="1" t="n">
        <v>46196</v>
      </c>
      <c r="D303" t="inlineStr">
        <is>
          <t>KRONOBERGS LÄN</t>
        </is>
      </c>
      <c r="E303" t="inlineStr">
        <is>
          <t>VÄXJÖ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41822-2025</t>
        </is>
      </c>
      <c r="B304" s="1" t="n">
        <v>45902</v>
      </c>
      <c r="C304" s="1" t="n">
        <v>46196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42537-2025</t>
        </is>
      </c>
      <c r="B305" s="1" t="n">
        <v>45905</v>
      </c>
      <c r="C305" s="1" t="n">
        <v>46196</v>
      </c>
      <c r="D305" t="inlineStr">
        <is>
          <t>KRONOBERGS LÄN</t>
        </is>
      </c>
      <c r="E305" t="inlineStr">
        <is>
          <t>VÄXJÖ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57242-2025</t>
        </is>
      </c>
      <c r="B306" s="1" t="n">
        <v>45979</v>
      </c>
      <c r="C306" s="1" t="n">
        <v>46196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42374-2025</t>
        </is>
      </c>
      <c r="B307" s="1" t="n">
        <v>45905</v>
      </c>
      <c r="C307" s="1" t="n">
        <v>46196</v>
      </c>
      <c r="D307" t="inlineStr">
        <is>
          <t>KRONOBERGS LÄN</t>
        </is>
      </c>
      <c r="E307" t="inlineStr">
        <is>
          <t>VÄXJÖ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887-2025</t>
        </is>
      </c>
      <c r="B308" s="1" t="n">
        <v>45665</v>
      </c>
      <c r="C308" s="1" t="n">
        <v>46196</v>
      </c>
      <c r="D308" t="inlineStr">
        <is>
          <t>KRONOBERGS LÄN</t>
        </is>
      </c>
      <c r="E308" t="inlineStr">
        <is>
          <t>VÄXJÖ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57239-2025</t>
        </is>
      </c>
      <c r="B309" s="1" t="n">
        <v>45979</v>
      </c>
      <c r="C309" s="1" t="n">
        <v>46196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57281-2025</t>
        </is>
      </c>
      <c r="B310" s="1" t="n">
        <v>45979</v>
      </c>
      <c r="C310" s="1" t="n">
        <v>46196</v>
      </c>
      <c r="D310" t="inlineStr">
        <is>
          <t>KRONOBERGS LÄN</t>
        </is>
      </c>
      <c r="E310" t="inlineStr">
        <is>
          <t>VÄXJÖ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42946-2025</t>
        </is>
      </c>
      <c r="B311" s="1" t="n">
        <v>45909</v>
      </c>
      <c r="C311" s="1" t="n">
        <v>46196</v>
      </c>
      <c r="D311" t="inlineStr">
        <is>
          <t>KRONOBERGS LÄN</t>
        </is>
      </c>
      <c r="E311" t="inlineStr">
        <is>
          <t>VÄXJÖ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6625-2024</t>
        </is>
      </c>
      <c r="B312" s="1" t="n">
        <v>45341</v>
      </c>
      <c r="C312" s="1" t="n">
        <v>46196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15930-2025</t>
        </is>
      </c>
      <c r="B313" s="1" t="n">
        <v>45749</v>
      </c>
      <c r="C313" s="1" t="n">
        <v>46196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57514-2025</t>
        </is>
      </c>
      <c r="B314" s="1" t="n">
        <v>45980</v>
      </c>
      <c r="C314" s="1" t="n">
        <v>46196</v>
      </c>
      <c r="D314" t="inlineStr">
        <is>
          <t>KRONOBERGS LÄN</t>
        </is>
      </c>
      <c r="E314" t="inlineStr">
        <is>
          <t>VÄXJÖ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26072-2025</t>
        </is>
      </c>
      <c r="B315" s="1" t="n">
        <v>45805</v>
      </c>
      <c r="C315" s="1" t="n">
        <v>46196</v>
      </c>
      <c r="D315" t="inlineStr">
        <is>
          <t>KRONOBERGS LÄN</t>
        </is>
      </c>
      <c r="E315" t="inlineStr">
        <is>
          <t>VÄXJÖ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11265-2025</t>
        </is>
      </c>
      <c r="B316" s="1" t="n">
        <v>45726</v>
      </c>
      <c r="C316" s="1" t="n">
        <v>46196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43640-2025</t>
        </is>
      </c>
      <c r="B317" s="1" t="n">
        <v>45911</v>
      </c>
      <c r="C317" s="1" t="n">
        <v>46196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43311-2025</t>
        </is>
      </c>
      <c r="B318" s="1" t="n">
        <v>45910</v>
      </c>
      <c r="C318" s="1" t="n">
        <v>46196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22533-2025</t>
        </is>
      </c>
      <c r="B319" s="1" t="n">
        <v>45787</v>
      </c>
      <c r="C319" s="1" t="n">
        <v>46196</v>
      </c>
      <c r="D319" t="inlineStr">
        <is>
          <t>KRONOBERGS LÄN</t>
        </is>
      </c>
      <c r="E319" t="inlineStr">
        <is>
          <t>VÄXJÖ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51190-2023</t>
        </is>
      </c>
      <c r="B320" s="1" t="n">
        <v>45219</v>
      </c>
      <c r="C320" s="1" t="n">
        <v>46196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18699-2025</t>
        </is>
      </c>
      <c r="B321" s="1" t="n">
        <v>45763</v>
      </c>
      <c r="C321" s="1" t="n">
        <v>46196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13972-2024</t>
        </is>
      </c>
      <c r="B322" s="1" t="n">
        <v>45392</v>
      </c>
      <c r="C322" s="1" t="n">
        <v>46196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2914-2024</t>
        </is>
      </c>
      <c r="B323" s="1" t="n">
        <v>45315</v>
      </c>
      <c r="C323" s="1" t="n">
        <v>46196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31469-2023</t>
        </is>
      </c>
      <c r="B324" s="1" t="n">
        <v>45114</v>
      </c>
      <c r="C324" s="1" t="n">
        <v>46196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22520-2024</t>
        </is>
      </c>
      <c r="B325" s="1" t="n">
        <v>45447</v>
      </c>
      <c r="C325" s="1" t="n">
        <v>46196</v>
      </c>
      <c r="D325" t="inlineStr">
        <is>
          <t>KRONOBERGS LÄN</t>
        </is>
      </c>
      <c r="E325" t="inlineStr">
        <is>
          <t>VÄXJÖ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9358-2024</t>
        </is>
      </c>
      <c r="B326" s="1" t="n">
        <v>45359</v>
      </c>
      <c r="C326" s="1" t="n">
        <v>46196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40506-2024</t>
        </is>
      </c>
      <c r="B327" s="1" t="n">
        <v>45555</v>
      </c>
      <c r="C327" s="1" t="n">
        <v>46196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37432-2024</t>
        </is>
      </c>
      <c r="B328" s="1" t="n">
        <v>45540</v>
      </c>
      <c r="C328" s="1" t="n">
        <v>46196</v>
      </c>
      <c r="D328" t="inlineStr">
        <is>
          <t>KRONOBERGS LÄN</t>
        </is>
      </c>
      <c r="E328" t="inlineStr">
        <is>
          <t>VÄXJÖ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5094-2024</t>
        </is>
      </c>
      <c r="B329" s="1" t="n">
        <v>45330</v>
      </c>
      <c r="C329" s="1" t="n">
        <v>46196</v>
      </c>
      <c r="D329" t="inlineStr">
        <is>
          <t>KRONOBERGS LÄN</t>
        </is>
      </c>
      <c r="E329" t="inlineStr">
        <is>
          <t>VÄXJÖ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44265-2025</t>
        </is>
      </c>
      <c r="B330" s="1" t="n">
        <v>45916</v>
      </c>
      <c r="C330" s="1" t="n">
        <v>46196</v>
      </c>
      <c r="D330" t="inlineStr">
        <is>
          <t>KRONOBERGS LÄN</t>
        </is>
      </c>
      <c r="E330" t="inlineStr">
        <is>
          <t>VÄXJÖ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9353-2025</t>
        </is>
      </c>
      <c r="B331" s="1" t="n">
        <v>45714</v>
      </c>
      <c r="C331" s="1" t="n">
        <v>46196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44882-2025</t>
        </is>
      </c>
      <c r="B332" s="1" t="n">
        <v>45918</v>
      </c>
      <c r="C332" s="1" t="n">
        <v>46196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29103-2023</t>
        </is>
      </c>
      <c r="B333" s="1" t="n">
        <v>45105</v>
      </c>
      <c r="C333" s="1" t="n">
        <v>46196</v>
      </c>
      <c r="D333" t="inlineStr">
        <is>
          <t>KRONOBERGS LÄN</t>
        </is>
      </c>
      <c r="E333" t="inlineStr">
        <is>
          <t>VÄXJÖ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45022-2025</t>
        </is>
      </c>
      <c r="B334" s="1" t="n">
        <v>45918</v>
      </c>
      <c r="C334" s="1" t="n">
        <v>46196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45741-2024</t>
        </is>
      </c>
      <c r="B335" s="1" t="n">
        <v>45579</v>
      </c>
      <c r="C335" s="1" t="n">
        <v>46196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45014-2025</t>
        </is>
      </c>
      <c r="B336" s="1" t="n">
        <v>45918</v>
      </c>
      <c r="C336" s="1" t="n">
        <v>46196</v>
      </c>
      <c r="D336" t="inlineStr">
        <is>
          <t>KRONOBERGS LÄN</t>
        </is>
      </c>
      <c r="E336" t="inlineStr">
        <is>
          <t>VÄXJÖ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45016-2025</t>
        </is>
      </c>
      <c r="B337" s="1" t="n">
        <v>45918</v>
      </c>
      <c r="C337" s="1" t="n">
        <v>46196</v>
      </c>
      <c r="D337" t="inlineStr">
        <is>
          <t>KRONOBERGS LÄN</t>
        </is>
      </c>
      <c r="E337" t="inlineStr">
        <is>
          <t>VÄXJÖ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45020-2025</t>
        </is>
      </c>
      <c r="B338" s="1" t="n">
        <v>45918</v>
      </c>
      <c r="C338" s="1" t="n">
        <v>46196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45024-2025</t>
        </is>
      </c>
      <c r="B339" s="1" t="n">
        <v>45918</v>
      </c>
      <c r="C339" s="1" t="n">
        <v>46196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40621-2024</t>
        </is>
      </c>
      <c r="B340" s="1" t="n">
        <v>45557</v>
      </c>
      <c r="C340" s="1" t="n">
        <v>46196</v>
      </c>
      <c r="D340" t="inlineStr">
        <is>
          <t>KRONOBERGS LÄN</t>
        </is>
      </c>
      <c r="E340" t="inlineStr">
        <is>
          <t>VÄXJÖ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45021-2025</t>
        </is>
      </c>
      <c r="B341" s="1" t="n">
        <v>45918</v>
      </c>
      <c r="C341" s="1" t="n">
        <v>46196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5179-2025</t>
        </is>
      </c>
      <c r="B342" s="1" t="n">
        <v>45691</v>
      </c>
      <c r="C342" s="1" t="n">
        <v>46196</v>
      </c>
      <c r="D342" t="inlineStr">
        <is>
          <t>KRONOBERGS LÄN</t>
        </is>
      </c>
      <c r="E342" t="inlineStr">
        <is>
          <t>VÄXJÖ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40618-2024</t>
        </is>
      </c>
      <c r="B343" s="1" t="n">
        <v>45557</v>
      </c>
      <c r="C343" s="1" t="n">
        <v>46196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46172-2025</t>
        </is>
      </c>
      <c r="B344" s="1" t="n">
        <v>45924</v>
      </c>
      <c r="C344" s="1" t="n">
        <v>46196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46742-2024</t>
        </is>
      </c>
      <c r="B345" s="1" t="n">
        <v>45583</v>
      </c>
      <c r="C345" s="1" t="n">
        <v>46196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16655-2024</t>
        </is>
      </c>
      <c r="B346" s="1" t="n">
        <v>45408</v>
      </c>
      <c r="C346" s="1" t="n">
        <v>46196</v>
      </c>
      <c r="D346" t="inlineStr">
        <is>
          <t>KRONOBERGS LÄN</t>
        </is>
      </c>
      <c r="E346" t="inlineStr">
        <is>
          <t>VÄXJÖ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47275-2024</t>
        </is>
      </c>
      <c r="B347" s="1" t="n">
        <v>45586</v>
      </c>
      <c r="C347" s="1" t="n">
        <v>46196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46461-2025</t>
        </is>
      </c>
      <c r="B348" s="1" t="n">
        <v>45925</v>
      </c>
      <c r="C348" s="1" t="n">
        <v>46196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2119-2024</t>
        </is>
      </c>
      <c r="B349" s="1" t="n">
        <v>45309</v>
      </c>
      <c r="C349" s="1" t="n">
        <v>46196</v>
      </c>
      <c r="D349" t="inlineStr">
        <is>
          <t>KRONOBERGS LÄN</t>
        </is>
      </c>
      <c r="E349" t="inlineStr">
        <is>
          <t>VÄXJÖ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46169-2025</t>
        </is>
      </c>
      <c r="B350" s="1" t="n">
        <v>45924</v>
      </c>
      <c r="C350" s="1" t="n">
        <v>46196</v>
      </c>
      <c r="D350" t="inlineStr">
        <is>
          <t>KRONOBERGS LÄN</t>
        </is>
      </c>
      <c r="E350" t="inlineStr">
        <is>
          <t>VÄXJÖ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47674-2022</t>
        </is>
      </c>
      <c r="B351" s="1" t="n">
        <v>44854</v>
      </c>
      <c r="C351" s="1" t="n">
        <v>46196</v>
      </c>
      <c r="D351" t="inlineStr">
        <is>
          <t>KRONOBERGS LÄN</t>
        </is>
      </c>
      <c r="E351" t="inlineStr">
        <is>
          <t>VÄXJÖ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59948-2025</t>
        </is>
      </c>
      <c r="B352" s="1" t="n">
        <v>45993</v>
      </c>
      <c r="C352" s="1" t="n">
        <v>46196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60003-2025</t>
        </is>
      </c>
      <c r="B353" s="1" t="n">
        <v>45993</v>
      </c>
      <c r="C353" s="1" t="n">
        <v>46196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24524-2024</t>
        </is>
      </c>
      <c r="B354" s="1" t="n">
        <v>45460</v>
      </c>
      <c r="C354" s="1" t="n">
        <v>46196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49620-2023</t>
        </is>
      </c>
      <c r="B355" s="1" t="n">
        <v>45211</v>
      </c>
      <c r="C355" s="1" t="n">
        <v>46196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45976-2025</t>
        </is>
      </c>
      <c r="B356" s="1" t="n">
        <v>45924</v>
      </c>
      <c r="C356" s="1" t="n">
        <v>46196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59122-2025</t>
        </is>
      </c>
      <c r="B357" s="1" t="n">
        <v>45988</v>
      </c>
      <c r="C357" s="1" t="n">
        <v>46196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13841-2025</t>
        </is>
      </c>
      <c r="B358" s="1" t="n">
        <v>45737</v>
      </c>
      <c r="C358" s="1" t="n">
        <v>46196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60163-2022</t>
        </is>
      </c>
      <c r="B359" s="1" t="n">
        <v>44909</v>
      </c>
      <c r="C359" s="1" t="n">
        <v>46196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4412-2025</t>
        </is>
      </c>
      <c r="B360" s="1" t="n">
        <v>45686</v>
      </c>
      <c r="C360" s="1" t="n">
        <v>46196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60468-2025</t>
        </is>
      </c>
      <c r="B361" s="1" t="n">
        <v>45995</v>
      </c>
      <c r="C361" s="1" t="n">
        <v>46196</v>
      </c>
      <c r="D361" t="inlineStr">
        <is>
          <t>KRONOBERGS LÄN</t>
        </is>
      </c>
      <c r="E361" t="inlineStr">
        <is>
          <t>VÄXJÖ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54397-2023</t>
        </is>
      </c>
      <c r="B362" s="1" t="n">
        <v>45233</v>
      </c>
      <c r="C362" s="1" t="n">
        <v>46196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2114-2024</t>
        </is>
      </c>
      <c r="B363" s="1" t="n">
        <v>45309</v>
      </c>
      <c r="C363" s="1" t="n">
        <v>46196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60793-2025</t>
        </is>
      </c>
      <c r="B364" s="1" t="n">
        <v>45999</v>
      </c>
      <c r="C364" s="1" t="n">
        <v>46196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60650-2025</t>
        </is>
      </c>
      <c r="B365" s="1" t="n">
        <v>45995</v>
      </c>
      <c r="C365" s="1" t="n">
        <v>46196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27266-2025</t>
        </is>
      </c>
      <c r="B366" s="1" t="n">
        <v>45812</v>
      </c>
      <c r="C366" s="1" t="n">
        <v>46196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21266-2022</t>
        </is>
      </c>
      <c r="B367" s="1" t="n">
        <v>44705</v>
      </c>
      <c r="C367" s="1" t="n">
        <v>46196</v>
      </c>
      <c r="D367" t="inlineStr">
        <is>
          <t>KRONOBERGS LÄN</t>
        </is>
      </c>
      <c r="E367" t="inlineStr">
        <is>
          <t>VÄXJÖ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61095-2025</t>
        </is>
      </c>
      <c r="B368" s="1" t="n">
        <v>46000</v>
      </c>
      <c r="C368" s="1" t="n">
        <v>46196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59294-2023</t>
        </is>
      </c>
      <c r="B369" s="1" t="n">
        <v>45253</v>
      </c>
      <c r="C369" s="1" t="n">
        <v>46196</v>
      </c>
      <c r="D369" t="inlineStr">
        <is>
          <t>KRONOBERGS LÄN</t>
        </is>
      </c>
      <c r="E369" t="inlineStr">
        <is>
          <t>VÄXJÖ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73827-2021</t>
        </is>
      </c>
      <c r="B370" s="1" t="n">
        <v>44552</v>
      </c>
      <c r="C370" s="1" t="n">
        <v>46196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2112-2024</t>
        </is>
      </c>
      <c r="B371" s="1" t="n">
        <v>45309</v>
      </c>
      <c r="C371" s="1" t="n">
        <v>46196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57023-2023</t>
        </is>
      </c>
      <c r="B372" s="1" t="n">
        <v>45244</v>
      </c>
      <c r="C372" s="1" t="n">
        <v>46196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57034-2023</t>
        </is>
      </c>
      <c r="B373" s="1" t="n">
        <v>45244</v>
      </c>
      <c r="C373" s="1" t="n">
        <v>46196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61563-2025</t>
        </is>
      </c>
      <c r="B374" s="1" t="n">
        <v>46001</v>
      </c>
      <c r="C374" s="1" t="n">
        <v>46196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28081-2025</t>
        </is>
      </c>
      <c r="B375" s="1" t="n">
        <v>45817</v>
      </c>
      <c r="C375" s="1" t="n">
        <v>46196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28176-2025</t>
        </is>
      </c>
      <c r="B376" s="1" t="n">
        <v>45818</v>
      </c>
      <c r="C376" s="1" t="n">
        <v>46196</v>
      </c>
      <c r="D376" t="inlineStr">
        <is>
          <t>KRONOBERGS LÄN</t>
        </is>
      </c>
      <c r="E376" t="inlineStr">
        <is>
          <t>VÄXJÖ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48159-2025</t>
        </is>
      </c>
      <c r="B377" s="1" t="n">
        <v>45933</v>
      </c>
      <c r="C377" s="1" t="n">
        <v>46196</v>
      </c>
      <c r="D377" t="inlineStr">
        <is>
          <t>KRONOBERGS LÄN</t>
        </is>
      </c>
      <c r="E377" t="inlineStr">
        <is>
          <t>VÄXJÖ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771-2024</t>
        </is>
      </c>
      <c r="B378" s="1" t="n">
        <v>45300</v>
      </c>
      <c r="C378" s="1" t="n">
        <v>46196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48264-2022</t>
        </is>
      </c>
      <c r="B379" s="1" t="n">
        <v>44858</v>
      </c>
      <c r="C379" s="1" t="n">
        <v>46196</v>
      </c>
      <c r="D379" t="inlineStr">
        <is>
          <t>KRONOBERGS LÄN</t>
        </is>
      </c>
      <c r="E379" t="inlineStr">
        <is>
          <t>VÄXJÖ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19349-2025</t>
        </is>
      </c>
      <c r="B380" s="1" t="n">
        <v>45769</v>
      </c>
      <c r="C380" s="1" t="n">
        <v>46196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48905-2025</t>
        </is>
      </c>
      <c r="B381" s="1" t="n">
        <v>45937</v>
      </c>
      <c r="C381" s="1" t="n">
        <v>46196</v>
      </c>
      <c r="D381" t="inlineStr">
        <is>
          <t>KRONOBERGS LÄN</t>
        </is>
      </c>
      <c r="E381" t="inlineStr">
        <is>
          <t>VÄXJÖ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48884-2025</t>
        </is>
      </c>
      <c r="B382" s="1" t="n">
        <v>45937</v>
      </c>
      <c r="C382" s="1" t="n">
        <v>46196</v>
      </c>
      <c r="D382" t="inlineStr">
        <is>
          <t>KRONOBERGS LÄN</t>
        </is>
      </c>
      <c r="E382" t="inlineStr">
        <is>
          <t>VÄXJÖ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38688-2022</t>
        </is>
      </c>
      <c r="B383" s="1" t="n">
        <v>44814</v>
      </c>
      <c r="C383" s="1" t="n">
        <v>46196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38689-2022</t>
        </is>
      </c>
      <c r="B384" s="1" t="n">
        <v>44814</v>
      </c>
      <c r="C384" s="1" t="n">
        <v>46196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21023-2023</t>
        </is>
      </c>
      <c r="B385" s="1" t="n">
        <v>45061</v>
      </c>
      <c r="C385" s="1" t="n">
        <v>46196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62569-2025</t>
        </is>
      </c>
      <c r="B386" s="1" t="n">
        <v>46007</v>
      </c>
      <c r="C386" s="1" t="n">
        <v>46196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28907-2025</t>
        </is>
      </c>
      <c r="B387" s="1" t="n">
        <v>45820</v>
      </c>
      <c r="C387" s="1" t="n">
        <v>46196</v>
      </c>
      <c r="D387" t="inlineStr">
        <is>
          <t>KRONOBERGS LÄN</t>
        </is>
      </c>
      <c r="E387" t="inlineStr">
        <is>
          <t>VÄXJÖ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28801-2025</t>
        </is>
      </c>
      <c r="B388" s="1" t="n">
        <v>45820</v>
      </c>
      <c r="C388" s="1" t="n">
        <v>46196</v>
      </c>
      <c r="D388" t="inlineStr">
        <is>
          <t>KRONOBERGS LÄN</t>
        </is>
      </c>
      <c r="E388" t="inlineStr">
        <is>
          <t>VÄXJÖ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40548-2025</t>
        </is>
      </c>
      <c r="B389" s="1" t="n">
        <v>45896</v>
      </c>
      <c r="C389" s="1" t="n">
        <v>46196</v>
      </c>
      <c r="D389" t="inlineStr">
        <is>
          <t>KRONOBERGS LÄN</t>
        </is>
      </c>
      <c r="E389" t="inlineStr">
        <is>
          <t>VÄXJÖ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28904-2025</t>
        </is>
      </c>
      <c r="B390" s="1" t="n">
        <v>45820</v>
      </c>
      <c r="C390" s="1" t="n">
        <v>46196</v>
      </c>
      <c r="D390" t="inlineStr">
        <is>
          <t>KRONOBERGS LÄN</t>
        </is>
      </c>
      <c r="E390" t="inlineStr">
        <is>
          <t>VÄXJÖ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28174-2025</t>
        </is>
      </c>
      <c r="B391" s="1" t="n">
        <v>45818</v>
      </c>
      <c r="C391" s="1" t="n">
        <v>46196</v>
      </c>
      <c r="D391" t="inlineStr">
        <is>
          <t>KRONOBERGS LÄN</t>
        </is>
      </c>
      <c r="E391" t="inlineStr">
        <is>
          <t>VÄXJÖ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48898-2025</t>
        </is>
      </c>
      <c r="B392" s="1" t="n">
        <v>45937</v>
      </c>
      <c r="C392" s="1" t="n">
        <v>46196</v>
      </c>
      <c r="D392" t="inlineStr">
        <is>
          <t>KRONOBERGS LÄN</t>
        </is>
      </c>
      <c r="E392" t="inlineStr">
        <is>
          <t>VÄXJÖ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64295-2023</t>
        </is>
      </c>
      <c r="B393" s="1" t="n">
        <v>45280</v>
      </c>
      <c r="C393" s="1" t="n">
        <v>46196</v>
      </c>
      <c r="D393" t="inlineStr">
        <is>
          <t>KRONOBERGS LÄN</t>
        </is>
      </c>
      <c r="E393" t="inlineStr">
        <is>
          <t>VÄXJÖ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62714-2025</t>
        </is>
      </c>
      <c r="B394" s="1" t="n">
        <v>46008</v>
      </c>
      <c r="C394" s="1" t="n">
        <v>46196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63226-2025</t>
        </is>
      </c>
      <c r="B395" s="1" t="n">
        <v>46010</v>
      </c>
      <c r="C395" s="1" t="n">
        <v>46196</v>
      </c>
      <c r="D395" t="inlineStr">
        <is>
          <t>KRONOBERGS LÄN</t>
        </is>
      </c>
      <c r="E395" t="inlineStr">
        <is>
          <t>VÄXJÖ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63228-2025</t>
        </is>
      </c>
      <c r="B396" s="1" t="n">
        <v>46010</v>
      </c>
      <c r="C396" s="1" t="n">
        <v>46196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63240-2025</t>
        </is>
      </c>
      <c r="B397" s="1" t="n">
        <v>46010</v>
      </c>
      <c r="C397" s="1" t="n">
        <v>46196</v>
      </c>
      <c r="D397" t="inlineStr">
        <is>
          <t>KRONOBERGS LÄN</t>
        </is>
      </c>
      <c r="E397" t="inlineStr">
        <is>
          <t>VÄXJÖ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29582-2025</t>
        </is>
      </c>
      <c r="B398" s="1" t="n">
        <v>45825</v>
      </c>
      <c r="C398" s="1" t="n">
        <v>46196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63355-2025</t>
        </is>
      </c>
      <c r="B399" s="1" t="n">
        <v>46010</v>
      </c>
      <c r="C399" s="1" t="n">
        <v>46196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29799-2025</t>
        </is>
      </c>
      <c r="B400" s="1" t="n">
        <v>45825</v>
      </c>
      <c r="C400" s="1" t="n">
        <v>46196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17010-2024</t>
        </is>
      </c>
      <c r="B401" s="1" t="n">
        <v>45412</v>
      </c>
      <c r="C401" s="1" t="n">
        <v>46196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1096-2023</t>
        </is>
      </c>
      <c r="B402" s="1" t="n">
        <v>44929</v>
      </c>
      <c r="C402" s="1" t="n">
        <v>46196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63230-2025</t>
        </is>
      </c>
      <c r="B403" s="1" t="n">
        <v>46010</v>
      </c>
      <c r="C403" s="1" t="n">
        <v>46196</v>
      </c>
      <c r="D403" t="inlineStr">
        <is>
          <t>KRONOBERGS LÄN</t>
        </is>
      </c>
      <c r="E403" t="inlineStr">
        <is>
          <t>VÄXJÖ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11519-2024</t>
        </is>
      </c>
      <c r="B404" s="1" t="n">
        <v>45372</v>
      </c>
      <c r="C404" s="1" t="n">
        <v>46196</v>
      </c>
      <c r="D404" t="inlineStr">
        <is>
          <t>KRONOBERGS LÄN</t>
        </is>
      </c>
      <c r="E404" t="inlineStr">
        <is>
          <t>VÄXJÖ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27757-2025</t>
        </is>
      </c>
      <c r="B405" s="1" t="n">
        <v>45816</v>
      </c>
      <c r="C405" s="1" t="n">
        <v>46196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28096-2022</t>
        </is>
      </c>
      <c r="B406" s="1" t="n">
        <v>44746</v>
      </c>
      <c r="C406" s="1" t="n">
        <v>46196</v>
      </c>
      <c r="D406" t="inlineStr">
        <is>
          <t>KRONOBERGS LÄN</t>
        </is>
      </c>
      <c r="E406" t="inlineStr">
        <is>
          <t>VÄXJÖ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57367-2022</t>
        </is>
      </c>
      <c r="B407" s="1" t="n">
        <v>44896</v>
      </c>
      <c r="C407" s="1" t="n">
        <v>46196</v>
      </c>
      <c r="D407" t="inlineStr">
        <is>
          <t>KRONOBERGS LÄN</t>
        </is>
      </c>
      <c r="E407" t="inlineStr">
        <is>
          <t>VÄXJÖ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29324-2025</t>
        </is>
      </c>
      <c r="B408" s="1" t="n">
        <v>45824</v>
      </c>
      <c r="C408" s="1" t="n">
        <v>46196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29326-2025</t>
        </is>
      </c>
      <c r="B409" s="1" t="n">
        <v>45824</v>
      </c>
      <c r="C409" s="1" t="n">
        <v>46196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111-2026</t>
        </is>
      </c>
      <c r="B410" s="1" t="n">
        <v>46019</v>
      </c>
      <c r="C410" s="1" t="n">
        <v>46196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30321-2025</t>
        </is>
      </c>
      <c r="B411" s="1" t="n">
        <v>45827</v>
      </c>
      <c r="C411" s="1" t="n">
        <v>46196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116-2026</t>
        </is>
      </c>
      <c r="B412" s="1" t="n">
        <v>46019</v>
      </c>
      <c r="C412" s="1" t="n">
        <v>46196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30683-2025</t>
        </is>
      </c>
      <c r="B413" s="1" t="n">
        <v>45831</v>
      </c>
      <c r="C413" s="1" t="n">
        <v>46196</v>
      </c>
      <c r="D413" t="inlineStr">
        <is>
          <t>KRONOBERGS LÄN</t>
        </is>
      </c>
      <c r="E413" t="inlineStr">
        <is>
          <t>VÄXJÖ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578-2026</t>
        </is>
      </c>
      <c r="B414" s="1" t="n">
        <v>46029</v>
      </c>
      <c r="C414" s="1" t="n">
        <v>46196</v>
      </c>
      <c r="D414" t="inlineStr">
        <is>
          <t>KRONOBERGS LÄN</t>
        </is>
      </c>
      <c r="E414" t="inlineStr">
        <is>
          <t>VÄXJÖ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587-2026</t>
        </is>
      </c>
      <c r="B415" s="1" t="n">
        <v>46029</v>
      </c>
      <c r="C415" s="1" t="n">
        <v>46196</v>
      </c>
      <c r="D415" t="inlineStr">
        <is>
          <t>KRONOBERGS LÄN</t>
        </is>
      </c>
      <c r="E415" t="inlineStr">
        <is>
          <t>VÄXJÖ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9397-2023</t>
        </is>
      </c>
      <c r="B416" s="1" t="n">
        <v>44981</v>
      </c>
      <c r="C416" s="1" t="n">
        <v>46196</v>
      </c>
      <c r="D416" t="inlineStr">
        <is>
          <t>KRONOBERGS LÄN</t>
        </is>
      </c>
      <c r="E416" t="inlineStr">
        <is>
          <t>VÄXJÖ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30643-2025</t>
        </is>
      </c>
      <c r="B417" s="1" t="n">
        <v>45831</v>
      </c>
      <c r="C417" s="1" t="n">
        <v>46196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15218-2023</t>
        </is>
      </c>
      <c r="B418" s="1" t="n">
        <v>45019</v>
      </c>
      <c r="C418" s="1" t="n">
        <v>46196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46585-2023</t>
        </is>
      </c>
      <c r="B419" s="1" t="n">
        <v>45194</v>
      </c>
      <c r="C419" s="1" t="n">
        <v>46196</v>
      </c>
      <c r="D419" t="inlineStr">
        <is>
          <t>KRONOBERGS LÄN</t>
        </is>
      </c>
      <c r="E419" t="inlineStr">
        <is>
          <t>VÄXJÖ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31243-2025</t>
        </is>
      </c>
      <c r="B420" s="1" t="n">
        <v>45832</v>
      </c>
      <c r="C420" s="1" t="n">
        <v>46196</v>
      </c>
      <c r="D420" t="inlineStr">
        <is>
          <t>KRONOBERGS LÄN</t>
        </is>
      </c>
      <c r="E420" t="inlineStr">
        <is>
          <t>VÄXJÖ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1222-2026</t>
        </is>
      </c>
      <c r="B421" s="1" t="n">
        <v>46031</v>
      </c>
      <c r="C421" s="1" t="n">
        <v>46196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1218-2026</t>
        </is>
      </c>
      <c r="B422" s="1" t="n">
        <v>46031</v>
      </c>
      <c r="C422" s="1" t="n">
        <v>46196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26068-2025</t>
        </is>
      </c>
      <c r="B423" s="1" t="n">
        <v>45805</v>
      </c>
      <c r="C423" s="1" t="n">
        <v>46196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32078-2025</t>
        </is>
      </c>
      <c r="B424" s="1" t="n">
        <v>45835</v>
      </c>
      <c r="C424" s="1" t="n">
        <v>46196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1798-2026</t>
        </is>
      </c>
      <c r="B425" s="1" t="n">
        <v>46035</v>
      </c>
      <c r="C425" s="1" t="n">
        <v>46196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32080-2025</t>
        </is>
      </c>
      <c r="B426" s="1" t="n">
        <v>45835</v>
      </c>
      <c r="C426" s="1" t="n">
        <v>46196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1819-2026</t>
        </is>
      </c>
      <c r="B427" s="1" t="n">
        <v>46035</v>
      </c>
      <c r="C427" s="1" t="n">
        <v>46196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1802-2026</t>
        </is>
      </c>
      <c r="B428" s="1" t="n">
        <v>46035</v>
      </c>
      <c r="C428" s="1" t="n">
        <v>46196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32000-2025</t>
        </is>
      </c>
      <c r="B429" s="1" t="n">
        <v>45835</v>
      </c>
      <c r="C429" s="1" t="n">
        <v>46196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2069-2026</t>
        </is>
      </c>
      <c r="B430" s="1" t="n">
        <v>46036</v>
      </c>
      <c r="C430" s="1" t="n">
        <v>46196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2150-2026</t>
        </is>
      </c>
      <c r="B431" s="1" t="n">
        <v>46036</v>
      </c>
      <c r="C431" s="1" t="n">
        <v>46196</v>
      </c>
      <c r="D431" t="inlineStr">
        <is>
          <t>KRONOBERGS LÄN</t>
        </is>
      </c>
      <c r="E431" t="inlineStr">
        <is>
          <t>VÄXJÖ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2157-2026</t>
        </is>
      </c>
      <c r="B432" s="1" t="n">
        <v>46036</v>
      </c>
      <c r="C432" s="1" t="n">
        <v>46196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2385-2026</t>
        </is>
      </c>
      <c r="B433" s="1" t="n">
        <v>46036</v>
      </c>
      <c r="C433" s="1" t="n">
        <v>46196</v>
      </c>
      <c r="D433" t="inlineStr">
        <is>
          <t>KRONOBERGS LÄN</t>
        </is>
      </c>
      <c r="E433" t="inlineStr">
        <is>
          <t>VÄXJÖ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45307-2025</t>
        </is>
      </c>
      <c r="B434" s="1" t="n">
        <v>45921</v>
      </c>
      <c r="C434" s="1" t="n">
        <v>46196</v>
      </c>
      <c r="D434" t="inlineStr">
        <is>
          <t>KRONOBERGS LÄN</t>
        </is>
      </c>
      <c r="E434" t="inlineStr">
        <is>
          <t>VÄXJÖ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3133-2026</t>
        </is>
      </c>
      <c r="B435" s="1" t="n">
        <v>46041</v>
      </c>
      <c r="C435" s="1" t="n">
        <v>46196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9177-2025</t>
        </is>
      </c>
      <c r="B436" s="1" t="n">
        <v>45714</v>
      </c>
      <c r="C436" s="1" t="n">
        <v>46196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57444-2023</t>
        </is>
      </c>
      <c r="B437" s="1" t="n">
        <v>45246</v>
      </c>
      <c r="C437" s="1" t="n">
        <v>46196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34636-2023</t>
        </is>
      </c>
      <c r="B438" s="1" t="n">
        <v>45140</v>
      </c>
      <c r="C438" s="1" t="n">
        <v>46196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30680-2023</t>
        </is>
      </c>
      <c r="B439" s="1" t="n">
        <v>45112</v>
      </c>
      <c r="C439" s="1" t="n">
        <v>46196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51196-2023</t>
        </is>
      </c>
      <c r="B440" s="1" t="n">
        <v>45219</v>
      </c>
      <c r="C440" s="1" t="n">
        <v>46196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57834-2024</t>
        </is>
      </c>
      <c r="B441" s="1" t="n">
        <v>45631</v>
      </c>
      <c r="C441" s="1" t="n">
        <v>46196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33066-2025</t>
        </is>
      </c>
      <c r="B442" s="1" t="n">
        <v>45840</v>
      </c>
      <c r="C442" s="1" t="n">
        <v>46196</v>
      </c>
      <c r="D442" t="inlineStr">
        <is>
          <t>KRONOBERGS LÄN</t>
        </is>
      </c>
      <c r="E442" t="inlineStr">
        <is>
          <t>VÄXJÖ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3856-2026</t>
        </is>
      </c>
      <c r="B443" s="1" t="n">
        <v>46043</v>
      </c>
      <c r="C443" s="1" t="n">
        <v>46196</v>
      </c>
      <c r="D443" t="inlineStr">
        <is>
          <t>KRONOBERGS LÄN</t>
        </is>
      </c>
      <c r="E443" t="inlineStr">
        <is>
          <t>VÄXJÖ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5272-2023</t>
        </is>
      </c>
      <c r="B444" s="1" t="n">
        <v>44959</v>
      </c>
      <c r="C444" s="1" t="n">
        <v>46196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4457-2026</t>
        </is>
      </c>
      <c r="B445" s="1" t="n">
        <v>46045</v>
      </c>
      <c r="C445" s="1" t="n">
        <v>46196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4310-2026</t>
        </is>
      </c>
      <c r="B446" s="1" t="n">
        <v>46045</v>
      </c>
      <c r="C446" s="1" t="n">
        <v>46196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37375-2024</t>
        </is>
      </c>
      <c r="B447" s="1" t="n">
        <v>45540</v>
      </c>
      <c r="C447" s="1" t="n">
        <v>46196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34348-2025</t>
        </is>
      </c>
      <c r="B448" s="1" t="n">
        <v>45846</v>
      </c>
      <c r="C448" s="1" t="n">
        <v>46196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5182-2026</t>
        </is>
      </c>
      <c r="B449" s="1" t="n">
        <v>46049</v>
      </c>
      <c r="C449" s="1" t="n">
        <v>46196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34611-2025</t>
        </is>
      </c>
      <c r="B450" s="1" t="n">
        <v>45846</v>
      </c>
      <c r="C450" s="1" t="n">
        <v>46196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34549-2025</t>
        </is>
      </c>
      <c r="B451" s="1" t="n">
        <v>45847</v>
      </c>
      <c r="C451" s="1" t="n">
        <v>46196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5128-2026</t>
        </is>
      </c>
      <c r="B452" s="1" t="n">
        <v>46048</v>
      </c>
      <c r="C452" s="1" t="n">
        <v>46196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5192-2026</t>
        </is>
      </c>
      <c r="B453" s="1" t="n">
        <v>46049</v>
      </c>
      <c r="C453" s="1" t="n">
        <v>46196</v>
      </c>
      <c r="D453" t="inlineStr">
        <is>
          <t>KRONOBERGS LÄN</t>
        </is>
      </c>
      <c r="E453" t="inlineStr">
        <is>
          <t>VÄXJÖ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13859-2024</t>
        </is>
      </c>
      <c r="B454" s="1" t="n">
        <v>45390</v>
      </c>
      <c r="C454" s="1" t="n">
        <v>46196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5179-2026</t>
        </is>
      </c>
      <c r="B455" s="1" t="n">
        <v>46049</v>
      </c>
      <c r="C455" s="1" t="n">
        <v>46196</v>
      </c>
      <c r="D455" t="inlineStr">
        <is>
          <t>KRONOBERGS LÄN</t>
        </is>
      </c>
      <c r="E455" t="inlineStr">
        <is>
          <t>VÄXJÖ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5196-2026</t>
        </is>
      </c>
      <c r="B456" s="1" t="n">
        <v>46049</v>
      </c>
      <c r="C456" s="1" t="n">
        <v>46196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35251-2025</t>
        </is>
      </c>
      <c r="B457" s="1" t="n">
        <v>45853</v>
      </c>
      <c r="C457" s="1" t="n">
        <v>46196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40074-2023</t>
        </is>
      </c>
      <c r="B458" s="1" t="n">
        <v>45168</v>
      </c>
      <c r="C458" s="1" t="n">
        <v>46196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5783-2026</t>
        </is>
      </c>
      <c r="B459" s="1" t="n">
        <v>46051</v>
      </c>
      <c r="C459" s="1" t="n">
        <v>46196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14226-2025</t>
        </is>
      </c>
      <c r="B460" s="1" t="n">
        <v>45740</v>
      </c>
      <c r="C460" s="1" t="n">
        <v>46196</v>
      </c>
      <c r="D460" t="inlineStr">
        <is>
          <t>KRONOBERGS LÄN</t>
        </is>
      </c>
      <c r="E460" t="inlineStr">
        <is>
          <t>VÄXJÖ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35819-2021</t>
        </is>
      </c>
      <c r="B461" s="1" t="n">
        <v>44386</v>
      </c>
      <c r="C461" s="1" t="n">
        <v>46196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39395-2023</t>
        </is>
      </c>
      <c r="B462" s="1" t="n">
        <v>45166</v>
      </c>
      <c r="C462" s="1" t="n">
        <v>46196</v>
      </c>
      <c r="D462" t="inlineStr">
        <is>
          <t>KRONOBERGS LÄN</t>
        </is>
      </c>
      <c r="E462" t="inlineStr">
        <is>
          <t>VÄXJÖ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55958-2024</t>
        </is>
      </c>
      <c r="B463" s="1" t="n">
        <v>45623</v>
      </c>
      <c r="C463" s="1" t="n">
        <v>46196</v>
      </c>
      <c r="D463" t="inlineStr">
        <is>
          <t>KRONOBERGS LÄN</t>
        </is>
      </c>
      <c r="E463" t="inlineStr">
        <is>
          <t>VÄXJÖ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62123-2023</t>
        </is>
      </c>
      <c r="B464" s="1" t="n">
        <v>45267</v>
      </c>
      <c r="C464" s="1" t="n">
        <v>46196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45514-2023</t>
        </is>
      </c>
      <c r="B465" s="1" t="n">
        <v>45194</v>
      </c>
      <c r="C465" s="1" t="n">
        <v>46196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12645-2024</t>
        </is>
      </c>
      <c r="B466" s="1" t="n">
        <v>45384</v>
      </c>
      <c r="C466" s="1" t="n">
        <v>46196</v>
      </c>
      <c r="D466" t="inlineStr">
        <is>
          <t>KRONOBERGS LÄN</t>
        </is>
      </c>
      <c r="E466" t="inlineStr">
        <is>
          <t>VÄXJÖ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29165-2023</t>
        </is>
      </c>
      <c r="B467" s="1" t="n">
        <v>45097</v>
      </c>
      <c r="C467" s="1" t="n">
        <v>46196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51659-2023</t>
        </is>
      </c>
      <c r="B468" s="1" t="n">
        <v>45222</v>
      </c>
      <c r="C468" s="1" t="n">
        <v>46196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56947-2023</t>
        </is>
      </c>
      <c r="B469" s="1" t="n">
        <v>45244</v>
      </c>
      <c r="C469" s="1" t="n">
        <v>46196</v>
      </c>
      <c r="D469" t="inlineStr">
        <is>
          <t>KRONOBERGS LÄN</t>
        </is>
      </c>
      <c r="E469" t="inlineStr">
        <is>
          <t>VÄXJÖ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38457-2023</t>
        </is>
      </c>
      <c r="B470" s="1" t="n">
        <v>45162</v>
      </c>
      <c r="C470" s="1" t="n">
        <v>46196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38460-2023</t>
        </is>
      </c>
      <c r="B471" s="1" t="n">
        <v>45162</v>
      </c>
      <c r="C471" s="1" t="n">
        <v>46196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25961-2023</t>
        </is>
      </c>
      <c r="B472" s="1" t="n">
        <v>45090</v>
      </c>
      <c r="C472" s="1" t="n">
        <v>46196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21515-2025</t>
        </is>
      </c>
      <c r="B473" s="1" t="n">
        <v>45782</v>
      </c>
      <c r="C473" s="1" t="n">
        <v>46196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6950-2026</t>
        </is>
      </c>
      <c r="B474" s="1" t="n">
        <v>46057</v>
      </c>
      <c r="C474" s="1" t="n">
        <v>46196</v>
      </c>
      <c r="D474" t="inlineStr">
        <is>
          <t>KRONOBERGS LÄN</t>
        </is>
      </c>
      <c r="E474" t="inlineStr">
        <is>
          <t>VÄXJÖ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17511-2022</t>
        </is>
      </c>
      <c r="B475" s="1" t="n">
        <v>44679</v>
      </c>
      <c r="C475" s="1" t="n">
        <v>46196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33391-2023</t>
        </is>
      </c>
      <c r="B476" s="1" t="n">
        <v>45128</v>
      </c>
      <c r="C476" s="1" t="n">
        <v>46196</v>
      </c>
      <c r="D476" t="inlineStr">
        <is>
          <t>KRONOBERGS LÄN</t>
        </is>
      </c>
      <c r="E476" t="inlineStr">
        <is>
          <t>VÄXJÖ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53189-2024</t>
        </is>
      </c>
      <c r="B477" s="1" t="n">
        <v>45611</v>
      </c>
      <c r="C477" s="1" t="n">
        <v>46196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36866-2025</t>
        </is>
      </c>
      <c r="B478" s="1" t="n">
        <v>45874</v>
      </c>
      <c r="C478" s="1" t="n">
        <v>46196</v>
      </c>
      <c r="D478" t="inlineStr">
        <is>
          <t>KRONOBERGS LÄN</t>
        </is>
      </c>
      <c r="E478" t="inlineStr">
        <is>
          <t>VÄXJÖ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1469-2024</t>
        </is>
      </c>
      <c r="B479" s="1" t="n">
        <v>45304</v>
      </c>
      <c r="C479" s="1" t="n">
        <v>46196</v>
      </c>
      <c r="D479" t="inlineStr">
        <is>
          <t>KRONOBERGS LÄN</t>
        </is>
      </c>
      <c r="E479" t="inlineStr">
        <is>
          <t>VÄXJÖ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6580-2026</t>
        </is>
      </c>
      <c r="B480" s="1" t="n">
        <v>46056</v>
      </c>
      <c r="C480" s="1" t="n">
        <v>46196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6948-2026</t>
        </is>
      </c>
      <c r="B481" s="1" t="n">
        <v>46057</v>
      </c>
      <c r="C481" s="1" t="n">
        <v>46196</v>
      </c>
      <c r="D481" t="inlineStr">
        <is>
          <t>KRONOBERGS LÄN</t>
        </is>
      </c>
      <c r="E481" t="inlineStr">
        <is>
          <t>VÄXJÖ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6583-2026</t>
        </is>
      </c>
      <c r="B482" s="1" t="n">
        <v>46056</v>
      </c>
      <c r="C482" s="1" t="n">
        <v>46196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6942-2026</t>
        </is>
      </c>
      <c r="B483" s="1" t="n">
        <v>46057</v>
      </c>
      <c r="C483" s="1" t="n">
        <v>46196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6597-2026</t>
        </is>
      </c>
      <c r="B484" s="1" t="n">
        <v>46056</v>
      </c>
      <c r="C484" s="1" t="n">
        <v>46196</v>
      </c>
      <c r="D484" t="inlineStr">
        <is>
          <t>KRONOBERGS LÄN</t>
        </is>
      </c>
      <c r="E484" t="inlineStr">
        <is>
          <t>VÄXJÖ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14324-2025</t>
        </is>
      </c>
      <c r="B485" s="1" t="n">
        <v>45740</v>
      </c>
      <c r="C485" s="1" t="n">
        <v>46196</v>
      </c>
      <c r="D485" t="inlineStr">
        <is>
          <t>KRONOBERGS LÄN</t>
        </is>
      </c>
      <c r="E485" t="inlineStr">
        <is>
          <t>VÄXJÖ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5760-2023</t>
        </is>
      </c>
      <c r="B486" s="1" t="n">
        <v>44963</v>
      </c>
      <c r="C486" s="1" t="n">
        <v>46196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5761-2023</t>
        </is>
      </c>
      <c r="B487" s="1" t="n">
        <v>44963</v>
      </c>
      <c r="C487" s="1" t="n">
        <v>46196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5764-2023</t>
        </is>
      </c>
      <c r="B488" s="1" t="n">
        <v>44963</v>
      </c>
      <c r="C488" s="1" t="n">
        <v>46196</v>
      </c>
      <c r="D488" t="inlineStr">
        <is>
          <t>KRONOBERGS LÄN</t>
        </is>
      </c>
      <c r="E488" t="inlineStr">
        <is>
          <t>VÄXJÖ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35469-2025</t>
        </is>
      </c>
      <c r="B489" s="1" t="n">
        <v>45855</v>
      </c>
      <c r="C489" s="1" t="n">
        <v>46196</v>
      </c>
      <c r="D489" t="inlineStr">
        <is>
          <t>KRONOBERGS LÄN</t>
        </is>
      </c>
      <c r="E489" t="inlineStr">
        <is>
          <t>VÄXJÖ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50503-2022</t>
        </is>
      </c>
      <c r="B490" s="1" t="n">
        <v>44866</v>
      </c>
      <c r="C490" s="1" t="n">
        <v>46196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7391-2026</t>
        </is>
      </c>
      <c r="B491" s="1" t="n">
        <v>46059</v>
      </c>
      <c r="C491" s="1" t="n">
        <v>46196</v>
      </c>
      <c r="D491" t="inlineStr">
        <is>
          <t>KRONOBERGS LÄN</t>
        </is>
      </c>
      <c r="E491" t="inlineStr">
        <is>
          <t>VÄXJÖ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7406-2026</t>
        </is>
      </c>
      <c r="B492" s="1" t="n">
        <v>46059</v>
      </c>
      <c r="C492" s="1" t="n">
        <v>46196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7395-2026</t>
        </is>
      </c>
      <c r="B493" s="1" t="n">
        <v>46059</v>
      </c>
      <c r="C493" s="1" t="n">
        <v>46196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68473-2021</t>
        </is>
      </c>
      <c r="B494" s="1" t="n">
        <v>44529</v>
      </c>
      <c r="C494" s="1" t="n">
        <v>46196</v>
      </c>
      <c r="D494" t="inlineStr">
        <is>
          <t>KRONOBERGS LÄN</t>
        </is>
      </c>
      <c r="E494" t="inlineStr">
        <is>
          <t>VÄXJÖ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4457-2025</t>
        </is>
      </c>
      <c r="B495" s="1" t="n">
        <v>45686</v>
      </c>
      <c r="C495" s="1" t="n">
        <v>46196</v>
      </c>
      <c r="D495" t="inlineStr">
        <is>
          <t>KRONOBERGS LÄN</t>
        </is>
      </c>
      <c r="E495" t="inlineStr">
        <is>
          <t>VÄXJÖ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4468-2025</t>
        </is>
      </c>
      <c r="B496" s="1" t="n">
        <v>45686</v>
      </c>
      <c r="C496" s="1" t="n">
        <v>46196</v>
      </c>
      <c r="D496" t="inlineStr">
        <is>
          <t>KRONOBERGS LÄN</t>
        </is>
      </c>
      <c r="E496" t="inlineStr">
        <is>
          <t>VÄXJÖ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63910-2023</t>
        </is>
      </c>
      <c r="B497" s="1" t="n">
        <v>45278</v>
      </c>
      <c r="C497" s="1" t="n">
        <v>46196</v>
      </c>
      <c r="D497" t="inlineStr">
        <is>
          <t>KRONOBERGS LÄN</t>
        </is>
      </c>
      <c r="E497" t="inlineStr">
        <is>
          <t>VÄXJÖ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7575-2026</t>
        </is>
      </c>
      <c r="B498" s="1" t="n">
        <v>46061</v>
      </c>
      <c r="C498" s="1" t="n">
        <v>46196</v>
      </c>
      <c r="D498" t="inlineStr">
        <is>
          <t>KRONOBERGS LÄN</t>
        </is>
      </c>
      <c r="E498" t="inlineStr">
        <is>
          <t>VÄXJÖ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38346-2025</t>
        </is>
      </c>
      <c r="B499" s="1" t="n">
        <v>45883</v>
      </c>
      <c r="C499" s="1" t="n">
        <v>46196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47088-2023</t>
        </is>
      </c>
      <c r="B500" s="1" t="n">
        <v>45201</v>
      </c>
      <c r="C500" s="1" t="n">
        <v>46196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64603-2023</t>
        </is>
      </c>
      <c r="B501" s="1" t="n">
        <v>45281</v>
      </c>
      <c r="C501" s="1" t="n">
        <v>46196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10033-2026</t>
        </is>
      </c>
      <c r="B502" s="1" t="n">
        <v>46073</v>
      </c>
      <c r="C502" s="1" t="n">
        <v>46196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10093-2026</t>
        </is>
      </c>
      <c r="B503" s="1" t="n">
        <v>46073</v>
      </c>
      <c r="C503" s="1" t="n">
        <v>46196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9710-2026</t>
        </is>
      </c>
      <c r="B504" s="1" t="n">
        <v>46072</v>
      </c>
      <c r="C504" s="1" t="n">
        <v>46196</v>
      </c>
      <c r="D504" t="inlineStr">
        <is>
          <t>KRONOBERGS LÄN</t>
        </is>
      </c>
      <c r="E504" t="inlineStr">
        <is>
          <t>VÄXJÖ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30436-2023</t>
        </is>
      </c>
      <c r="B505" s="1" t="n">
        <v>45111</v>
      </c>
      <c r="C505" s="1" t="n">
        <v>46196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57159-2023</t>
        </is>
      </c>
      <c r="B506" s="1" t="n">
        <v>45245</v>
      </c>
      <c r="C506" s="1" t="n">
        <v>46196</v>
      </c>
      <c r="D506" t="inlineStr">
        <is>
          <t>KRONOBERGS LÄN</t>
        </is>
      </c>
      <c r="E506" t="inlineStr">
        <is>
          <t>VÄXJÖ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10122-2026</t>
        </is>
      </c>
      <c r="B507" s="1" t="n">
        <v>46075</v>
      </c>
      <c r="C507" s="1" t="n">
        <v>46196</v>
      </c>
      <c r="D507" t="inlineStr">
        <is>
          <t>KRONOBERGS LÄN</t>
        </is>
      </c>
      <c r="E507" t="inlineStr">
        <is>
          <t>VÄXJÖ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10932-2026</t>
        </is>
      </c>
      <c r="B508" s="1" t="n">
        <v>46079</v>
      </c>
      <c r="C508" s="1" t="n">
        <v>46196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10930-2026</t>
        </is>
      </c>
      <c r="B509" s="1" t="n">
        <v>46079</v>
      </c>
      <c r="C509" s="1" t="n">
        <v>46196</v>
      </c>
      <c r="D509" t="inlineStr">
        <is>
          <t>KRONOBERGS LÄN</t>
        </is>
      </c>
      <c r="E509" t="inlineStr">
        <is>
          <t>VÄXJÖ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17283-2022</t>
        </is>
      </c>
      <c r="B510" s="1" t="n">
        <v>44678</v>
      </c>
      <c r="C510" s="1" t="n">
        <v>46196</v>
      </c>
      <c r="D510" t="inlineStr">
        <is>
          <t>KRONOBERGS LÄN</t>
        </is>
      </c>
      <c r="E510" t="inlineStr">
        <is>
          <t>VÄXJÖ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61055-2022</t>
        </is>
      </c>
      <c r="B511" s="1" t="n">
        <v>44915</v>
      </c>
      <c r="C511" s="1" t="n">
        <v>46196</v>
      </c>
      <c r="D511" t="inlineStr">
        <is>
          <t>KRONOBERGS LÄN</t>
        </is>
      </c>
      <c r="E511" t="inlineStr">
        <is>
          <t>VÄXJÖ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11650-2026</t>
        </is>
      </c>
      <c r="B512" s="1" t="n">
        <v>46084</v>
      </c>
      <c r="C512" s="1" t="n">
        <v>46196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11610-2026</t>
        </is>
      </c>
      <c r="B513" s="1" t="n">
        <v>46084</v>
      </c>
      <c r="C513" s="1" t="n">
        <v>46196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11360-2026</t>
        </is>
      </c>
      <c r="B514" s="1" t="n">
        <v>46083</v>
      </c>
      <c r="C514" s="1" t="n">
        <v>46196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28983-2023</t>
        </is>
      </c>
      <c r="B515" s="1" t="n">
        <v>45104</v>
      </c>
      <c r="C515" s="1" t="n">
        <v>46196</v>
      </c>
      <c r="D515" t="inlineStr">
        <is>
          <t>KRONOBERGS LÄN</t>
        </is>
      </c>
      <c r="E515" t="inlineStr">
        <is>
          <t>VÄXJÖ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11438-2026</t>
        </is>
      </c>
      <c r="B516" s="1" t="n">
        <v>46083</v>
      </c>
      <c r="C516" s="1" t="n">
        <v>46196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11422-2026</t>
        </is>
      </c>
      <c r="B517" s="1" t="n">
        <v>46083</v>
      </c>
      <c r="C517" s="1" t="n">
        <v>46196</v>
      </c>
      <c r="D517" t="inlineStr">
        <is>
          <t>KRONOBERGS LÄN</t>
        </is>
      </c>
      <c r="E517" t="inlineStr">
        <is>
          <t>VÄXJÖ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11492-2026</t>
        </is>
      </c>
      <c r="B518" s="1" t="n">
        <v>46083</v>
      </c>
      <c r="C518" s="1" t="n">
        <v>46196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11456-2026</t>
        </is>
      </c>
      <c r="B519" s="1" t="n">
        <v>46083</v>
      </c>
      <c r="C519" s="1" t="n">
        <v>46196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1470-2024</t>
        </is>
      </c>
      <c r="B520" s="1" t="n">
        <v>45304</v>
      </c>
      <c r="C520" s="1" t="n">
        <v>46196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44860-2023</t>
        </is>
      </c>
      <c r="B521" s="1" t="n">
        <v>45190</v>
      </c>
      <c r="C521" s="1" t="n">
        <v>46196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64193-2023</t>
        </is>
      </c>
      <c r="B522" s="1" t="n">
        <v>45279</v>
      </c>
      <c r="C522" s="1" t="n">
        <v>46196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16594-2025</t>
        </is>
      </c>
      <c r="B523" s="1" t="n">
        <v>45753</v>
      </c>
      <c r="C523" s="1" t="n">
        <v>46196</v>
      </c>
      <c r="D523" t="inlineStr">
        <is>
          <t>KRONOBERGS LÄN</t>
        </is>
      </c>
      <c r="E523" t="inlineStr">
        <is>
          <t>VÄXJÖ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42037-2021</t>
        </is>
      </c>
      <c r="B524" s="1" t="n">
        <v>44426</v>
      </c>
      <c r="C524" s="1" t="n">
        <v>46196</v>
      </c>
      <c r="D524" t="inlineStr">
        <is>
          <t>KRONOBERGS LÄN</t>
        </is>
      </c>
      <c r="E524" t="inlineStr">
        <is>
          <t>VÄXJÖ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12253-2026</t>
        </is>
      </c>
      <c r="B525" s="1" t="n">
        <v>46087</v>
      </c>
      <c r="C525" s="1" t="n">
        <v>46196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70676-2021</t>
        </is>
      </c>
      <c r="B526" s="1" t="n">
        <v>44537</v>
      </c>
      <c r="C526" s="1" t="n">
        <v>46196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54757-2023</t>
        </is>
      </c>
      <c r="B527" s="1" t="n">
        <v>45236</v>
      </c>
      <c r="C527" s="1" t="n">
        <v>46196</v>
      </c>
      <c r="D527" t="inlineStr">
        <is>
          <t>KRONOBERGS LÄN</t>
        </is>
      </c>
      <c r="E527" t="inlineStr">
        <is>
          <t>VÄXJÖ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54759-2023</t>
        </is>
      </c>
      <c r="B528" s="1" t="n">
        <v>45236</v>
      </c>
      <c r="C528" s="1" t="n">
        <v>46196</v>
      </c>
      <c r="D528" t="inlineStr">
        <is>
          <t>KRONOBERGS LÄN</t>
        </is>
      </c>
      <c r="E528" t="inlineStr">
        <is>
          <t>VÄXJÖ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3365-2024</t>
        </is>
      </c>
      <c r="B529" s="1" t="n">
        <v>45317</v>
      </c>
      <c r="C529" s="1" t="n">
        <v>46196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59366-2024</t>
        </is>
      </c>
      <c r="B530" s="1" t="n">
        <v>45638</v>
      </c>
      <c r="C530" s="1" t="n">
        <v>46196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32487-2023</t>
        </is>
      </c>
      <c r="B531" s="1" t="n">
        <v>45121</v>
      </c>
      <c r="C531" s="1" t="n">
        <v>46196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32492-2023</t>
        </is>
      </c>
      <c r="B532" s="1" t="n">
        <v>45121</v>
      </c>
      <c r="C532" s="1" t="n">
        <v>46196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32496-2023</t>
        </is>
      </c>
      <c r="B533" s="1" t="n">
        <v>45121</v>
      </c>
      <c r="C533" s="1" t="n">
        <v>46196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3565-2023</t>
        </is>
      </c>
      <c r="B534" s="1" t="n">
        <v>44950</v>
      </c>
      <c r="C534" s="1" t="n">
        <v>46196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40210-2023</t>
        </is>
      </c>
      <c r="B535" s="1" t="n">
        <v>45169</v>
      </c>
      <c r="C535" s="1" t="n">
        <v>46196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17504-2023</t>
        </is>
      </c>
      <c r="B536" s="1" t="n">
        <v>45036</v>
      </c>
      <c r="C536" s="1" t="n">
        <v>46196</v>
      </c>
      <c r="D536" t="inlineStr">
        <is>
          <t>KRONOBERGS LÄN</t>
        </is>
      </c>
      <c r="E536" t="inlineStr">
        <is>
          <t>VÄXJÖ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13804-2026</t>
        </is>
      </c>
      <c r="B537" s="1" t="n">
        <v>46097</v>
      </c>
      <c r="C537" s="1" t="n">
        <v>46196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14170-2026</t>
        </is>
      </c>
      <c r="B538" s="1" t="n">
        <v>46099</v>
      </c>
      <c r="C538" s="1" t="n">
        <v>46196</v>
      </c>
      <c r="D538" t="inlineStr">
        <is>
          <t>KRONOBERGS LÄN</t>
        </is>
      </c>
      <c r="E538" t="inlineStr">
        <is>
          <t>VÄXJÖ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14377-2026</t>
        </is>
      </c>
      <c r="B539" s="1" t="n">
        <v>46100</v>
      </c>
      <c r="C539" s="1" t="n">
        <v>46196</v>
      </c>
      <c r="D539" t="inlineStr">
        <is>
          <t>KRONOBERGS LÄN</t>
        </is>
      </c>
      <c r="E539" t="inlineStr">
        <is>
          <t>VÄXJÖ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14347-2026</t>
        </is>
      </c>
      <c r="B540" s="1" t="n">
        <v>46100</v>
      </c>
      <c r="C540" s="1" t="n">
        <v>46196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14370-2026</t>
        </is>
      </c>
      <c r="B541" s="1" t="n">
        <v>46100</v>
      </c>
      <c r="C541" s="1" t="n">
        <v>46196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14139-2026</t>
        </is>
      </c>
      <c r="B542" s="1" t="n">
        <v>46099</v>
      </c>
      <c r="C542" s="1" t="n">
        <v>46196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14510-2026</t>
        </is>
      </c>
      <c r="B543" s="1" t="n">
        <v>46100</v>
      </c>
      <c r="C543" s="1" t="n">
        <v>46196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14349-2026</t>
        </is>
      </c>
      <c r="B544" s="1" t="n">
        <v>46100</v>
      </c>
      <c r="C544" s="1" t="n">
        <v>46196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19111-2023</t>
        </is>
      </c>
      <c r="B545" s="1" t="n">
        <v>45048</v>
      </c>
      <c r="C545" s="1" t="n">
        <v>46196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16011-2026</t>
        </is>
      </c>
      <c r="B546" s="1" t="n">
        <v>46108</v>
      </c>
      <c r="C546" s="1" t="n">
        <v>46196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15880-2026</t>
        </is>
      </c>
      <c r="B547" s="1" t="n">
        <v>46107</v>
      </c>
      <c r="C547" s="1" t="n">
        <v>46196</v>
      </c>
      <c r="D547" t="inlineStr">
        <is>
          <t>KRONOBERGS LÄN</t>
        </is>
      </c>
      <c r="E547" t="inlineStr">
        <is>
          <t>VÄXJÖ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16055-2026</t>
        </is>
      </c>
      <c r="B548" s="1" t="n">
        <v>46108</v>
      </c>
      <c r="C548" s="1" t="n">
        <v>46196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16591-2026</t>
        </is>
      </c>
      <c r="B549" s="1" t="n">
        <v>46112</v>
      </c>
      <c r="C549" s="1" t="n">
        <v>46196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16600-2026</t>
        </is>
      </c>
      <c r="B550" s="1" t="n">
        <v>46112</v>
      </c>
      <c r="C550" s="1" t="n">
        <v>46196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31091-2022</t>
        </is>
      </c>
      <c r="B551" s="1" t="n">
        <v>44769</v>
      </c>
      <c r="C551" s="1" t="n">
        <v>46196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31090-2022</t>
        </is>
      </c>
      <c r="B552" s="1" t="n">
        <v>44769</v>
      </c>
      <c r="C552" s="1" t="n">
        <v>46196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16491-2026</t>
        </is>
      </c>
      <c r="B553" s="1" t="n">
        <v>46112</v>
      </c>
      <c r="C553" s="1" t="n">
        <v>46196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25626-2024</t>
        </is>
      </c>
      <c r="B554" s="1" t="n">
        <v>45463</v>
      </c>
      <c r="C554" s="1" t="n">
        <v>46196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53713-2023</t>
        </is>
      </c>
      <c r="B555" s="1" t="n">
        <v>45230</v>
      </c>
      <c r="C555" s="1" t="n">
        <v>46196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56172-2023</t>
        </is>
      </c>
      <c r="B556" s="1" t="n">
        <v>45240</v>
      </c>
      <c r="C556" s="1" t="n">
        <v>46196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36939-2023</t>
        </is>
      </c>
      <c r="B557" s="1" t="n">
        <v>45154</v>
      </c>
      <c r="C557" s="1" t="n">
        <v>46196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16765-2026</t>
        </is>
      </c>
      <c r="B558" s="1" t="n">
        <v>46113</v>
      </c>
      <c r="C558" s="1" t="n">
        <v>46196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23057-2026</t>
        </is>
      </c>
      <c r="B559" s="1" t="n">
        <v>46161</v>
      </c>
      <c r="C559" s="1" t="n">
        <v>46196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23350-2026</t>
        </is>
      </c>
      <c r="B560" s="1" t="n">
        <v>46162</v>
      </c>
      <c r="C560" s="1" t="n">
        <v>46196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23354-2026</t>
        </is>
      </c>
      <c r="B561" s="1" t="n">
        <v>46162</v>
      </c>
      <c r="C561" s="1" t="n">
        <v>46196</v>
      </c>
      <c r="D561" t="inlineStr">
        <is>
          <t>KRONOBERGS LÄN</t>
        </is>
      </c>
      <c r="E561" t="inlineStr">
        <is>
          <t>VÄXJÖ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49087-2024</t>
        </is>
      </c>
      <c r="B562" s="1" t="n">
        <v>45594</v>
      </c>
      <c r="C562" s="1" t="n">
        <v>46196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23346-2026</t>
        </is>
      </c>
      <c r="B563" s="1" t="n">
        <v>46162</v>
      </c>
      <c r="C563" s="1" t="n">
        <v>46196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49018-2024</t>
        </is>
      </c>
      <c r="B564" s="1" t="n">
        <v>45594</v>
      </c>
      <c r="C564" s="1" t="n">
        <v>46196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23358-2026</t>
        </is>
      </c>
      <c r="B565" s="1" t="n">
        <v>46162</v>
      </c>
      <c r="C565" s="1" t="n">
        <v>46196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17397-2026</t>
        </is>
      </c>
      <c r="B566" s="1" t="n">
        <v>46119</v>
      </c>
      <c r="C566" s="1" t="n">
        <v>46196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23520-2026</t>
        </is>
      </c>
      <c r="B567" s="1" t="n">
        <v>46163</v>
      </c>
      <c r="C567" s="1" t="n">
        <v>46196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23528-2026</t>
        </is>
      </c>
      <c r="B568" s="1" t="n">
        <v>46163</v>
      </c>
      <c r="C568" s="1" t="n">
        <v>46196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23534-2026</t>
        </is>
      </c>
      <c r="B569" s="1" t="n">
        <v>46163</v>
      </c>
      <c r="C569" s="1" t="n">
        <v>46196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23522-2026</t>
        </is>
      </c>
      <c r="B570" s="1" t="n">
        <v>46163</v>
      </c>
      <c r="C570" s="1" t="n">
        <v>46196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23524-2026</t>
        </is>
      </c>
      <c r="B571" s="1" t="n">
        <v>46163</v>
      </c>
      <c r="C571" s="1" t="n">
        <v>46196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23526-2026</t>
        </is>
      </c>
      <c r="B572" s="1" t="n">
        <v>46163</v>
      </c>
      <c r="C572" s="1" t="n">
        <v>46196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23530-2026</t>
        </is>
      </c>
      <c r="B573" s="1" t="n">
        <v>46163</v>
      </c>
      <c r="C573" s="1" t="n">
        <v>46196</v>
      </c>
      <c r="D573" t="inlineStr">
        <is>
          <t>KRONOBERGS LÄN</t>
        </is>
      </c>
      <c r="E573" t="inlineStr">
        <is>
          <t>VÄXJÖ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24101-2026</t>
        </is>
      </c>
      <c r="B574" s="1" t="n">
        <v>46168</v>
      </c>
      <c r="C574" s="1" t="n">
        <v>46196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18095-2026</t>
        </is>
      </c>
      <c r="B575" s="1" t="n">
        <v>46125</v>
      </c>
      <c r="C575" s="1" t="n">
        <v>46196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23849-2026</t>
        </is>
      </c>
      <c r="B576" s="1" t="n">
        <v>46167</v>
      </c>
      <c r="C576" s="1" t="n">
        <v>46196</v>
      </c>
      <c r="D576" t="inlineStr">
        <is>
          <t>KRONOBERGS LÄN</t>
        </is>
      </c>
      <c r="E576" t="inlineStr">
        <is>
          <t>VÄXJÖ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18098-2026</t>
        </is>
      </c>
      <c r="B577" s="1" t="n">
        <v>46125</v>
      </c>
      <c r="C577" s="1" t="n">
        <v>46196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24100-2026</t>
        </is>
      </c>
      <c r="B578" s="1" t="n">
        <v>46168</v>
      </c>
      <c r="C578" s="1" t="n">
        <v>46196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24515-2026</t>
        </is>
      </c>
      <c r="B579" s="1" t="n">
        <v>46170</v>
      </c>
      <c r="C579" s="1" t="n">
        <v>46196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9389-2025</t>
        </is>
      </c>
      <c r="B580" s="1" t="n">
        <v>45715</v>
      </c>
      <c r="C580" s="1" t="n">
        <v>46196</v>
      </c>
      <c r="D580" t="inlineStr">
        <is>
          <t>KRONOBERGS LÄN</t>
        </is>
      </c>
      <c r="E580" t="inlineStr">
        <is>
          <t>VÄXJÖ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24464-2026</t>
        </is>
      </c>
      <c r="B581" s="1" t="n">
        <v>46170</v>
      </c>
      <c r="C581" s="1" t="n">
        <v>46196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24701-2026</t>
        </is>
      </c>
      <c r="B582" s="1" t="n">
        <v>46171</v>
      </c>
      <c r="C582" s="1" t="n">
        <v>46196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24512-2026</t>
        </is>
      </c>
      <c r="B583" s="1" t="n">
        <v>46170</v>
      </c>
      <c r="C583" s="1" t="n">
        <v>46196</v>
      </c>
      <c r="D583" t="inlineStr">
        <is>
          <t>KRONOBERGS LÄN</t>
        </is>
      </c>
      <c r="E583" t="inlineStr">
        <is>
          <t>VÄXJÖ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24607-2026</t>
        </is>
      </c>
      <c r="B584" s="1" t="n">
        <v>46171</v>
      </c>
      <c r="C584" s="1" t="n">
        <v>46196</v>
      </c>
      <c r="D584" t="inlineStr">
        <is>
          <t>KRONOBERGS LÄN</t>
        </is>
      </c>
      <c r="E584" t="inlineStr">
        <is>
          <t>VÄXJÖ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18939-2026</t>
        </is>
      </c>
      <c r="B585" s="1" t="n">
        <v>46129</v>
      </c>
      <c r="C585" s="1" t="n">
        <v>46196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24703-2026</t>
        </is>
      </c>
      <c r="B586" s="1" t="n">
        <v>46171</v>
      </c>
      <c r="C586" s="1" t="n">
        <v>46196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4646-2024</t>
        </is>
      </c>
      <c r="B587" s="1" t="n">
        <v>45328</v>
      </c>
      <c r="C587" s="1" t="n">
        <v>46196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4653-2024</t>
        </is>
      </c>
      <c r="B588" s="1" t="n">
        <v>45328</v>
      </c>
      <c r="C588" s="1" t="n">
        <v>46196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19619-2026</t>
        </is>
      </c>
      <c r="B589" s="1" t="n">
        <v>46134</v>
      </c>
      <c r="C589" s="1" t="n">
        <v>46196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19152-2025</t>
        </is>
      </c>
      <c r="B590" s="1" t="n">
        <v>45769</v>
      </c>
      <c r="C590" s="1" t="n">
        <v>46196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37902-2025</t>
        </is>
      </c>
      <c r="B591" s="1" t="n">
        <v>45881</v>
      </c>
      <c r="C591" s="1" t="n">
        <v>46196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19632-2026</t>
        </is>
      </c>
      <c r="B592" s="1" t="n">
        <v>46134</v>
      </c>
      <c r="C592" s="1" t="n">
        <v>46196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19622-2026</t>
        </is>
      </c>
      <c r="B593" s="1" t="n">
        <v>46134</v>
      </c>
      <c r="C593" s="1" t="n">
        <v>46196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19609-2026</t>
        </is>
      </c>
      <c r="B594" s="1" t="n">
        <v>46134</v>
      </c>
      <c r="C594" s="1" t="n">
        <v>46196</v>
      </c>
      <c r="D594" t="inlineStr">
        <is>
          <t>KRONOBERGS LÄN</t>
        </is>
      </c>
      <c r="E594" t="inlineStr">
        <is>
          <t>VÄXJÖ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2890-2025</t>
        </is>
      </c>
      <c r="B595" s="1" t="n">
        <v>45677</v>
      </c>
      <c r="C595" s="1" t="n">
        <v>46196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46589-2024</t>
        </is>
      </c>
      <c r="B596" s="1" t="n">
        <v>45582</v>
      </c>
      <c r="C596" s="1" t="n">
        <v>46196</v>
      </c>
      <c r="D596" t="inlineStr">
        <is>
          <t>KRONOBERGS LÄN</t>
        </is>
      </c>
      <c r="E596" t="inlineStr">
        <is>
          <t>VÄXJÖ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45689-2025</t>
        </is>
      </c>
      <c r="B597" s="1" t="n">
        <v>45923</v>
      </c>
      <c r="C597" s="1" t="n">
        <v>46196</v>
      </c>
      <c r="D597" t="inlineStr">
        <is>
          <t>KRONOBERGS LÄN</t>
        </is>
      </c>
      <c r="E597" t="inlineStr">
        <is>
          <t>VÄXJÖ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49578-2025</t>
        </is>
      </c>
      <c r="B598" s="1" t="n">
        <v>45939</v>
      </c>
      <c r="C598" s="1" t="n">
        <v>46196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53389-2021</t>
        </is>
      </c>
      <c r="B599" s="1" t="n">
        <v>44468</v>
      </c>
      <c r="C599" s="1" t="n">
        <v>46196</v>
      </c>
      <c r="D599" t="inlineStr">
        <is>
          <t>KRONOBERGS LÄN</t>
        </is>
      </c>
      <c r="E599" t="inlineStr">
        <is>
          <t>VÄXJÖ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40069-2025</t>
        </is>
      </c>
      <c r="B600" s="1" t="n">
        <v>45894</v>
      </c>
      <c r="C600" s="1" t="n">
        <v>46196</v>
      </c>
      <c r="D600" t="inlineStr">
        <is>
          <t>KRONOBERGS LÄN</t>
        </is>
      </c>
      <c r="E600" t="inlineStr">
        <is>
          <t>VÄXJÖ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45813-2025</t>
        </is>
      </c>
      <c r="B601" s="1" t="n">
        <v>45923</v>
      </c>
      <c r="C601" s="1" t="n">
        <v>46196</v>
      </c>
      <c r="D601" t="inlineStr">
        <is>
          <t>KRONOBERGS LÄN</t>
        </is>
      </c>
      <c r="E601" t="inlineStr">
        <is>
          <t>VÄXJÖ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38425-2025</t>
        </is>
      </c>
      <c r="B602" s="1" t="n">
        <v>45883</v>
      </c>
      <c r="C602" s="1" t="n">
        <v>46196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38433-2025</t>
        </is>
      </c>
      <c r="B603" s="1" t="n">
        <v>45883</v>
      </c>
      <c r="C603" s="1" t="n">
        <v>46196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30374-2025</t>
        </is>
      </c>
      <c r="B604" s="1" t="n">
        <v>45827</v>
      </c>
      <c r="C604" s="1" t="n">
        <v>46196</v>
      </c>
      <c r="D604" t="inlineStr">
        <is>
          <t>KRONOBERGS LÄN</t>
        </is>
      </c>
      <c r="E604" t="inlineStr">
        <is>
          <t>VÄXJÖ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59477-2024</t>
        </is>
      </c>
      <c r="B605" s="1" t="n">
        <v>45638</v>
      </c>
      <c r="C605" s="1" t="n">
        <v>46196</v>
      </c>
      <c r="D605" t="inlineStr">
        <is>
          <t>KRONOBERGS LÄN</t>
        </is>
      </c>
      <c r="E605" t="inlineStr">
        <is>
          <t>VÄXJÖ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14868-2025</t>
        </is>
      </c>
      <c r="B606" s="1" t="n">
        <v>45743</v>
      </c>
      <c r="C606" s="1" t="n">
        <v>46196</v>
      </c>
      <c r="D606" t="inlineStr">
        <is>
          <t>KRONOBERGS LÄN</t>
        </is>
      </c>
      <c r="E606" t="inlineStr">
        <is>
          <t>VÄXJÖ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23228-2025</t>
        </is>
      </c>
      <c r="B607" s="1" t="n">
        <v>45791</v>
      </c>
      <c r="C607" s="1" t="n">
        <v>46196</v>
      </c>
      <c r="D607" t="inlineStr">
        <is>
          <t>KRONOBERGS LÄN</t>
        </is>
      </c>
      <c r="E607" t="inlineStr">
        <is>
          <t>VÄXJÖ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1643-2025</t>
        </is>
      </c>
      <c r="B608" s="1" t="n">
        <v>45670</v>
      </c>
      <c r="C608" s="1" t="n">
        <v>46196</v>
      </c>
      <c r="D608" t="inlineStr">
        <is>
          <t>KRONOBERGS LÄN</t>
        </is>
      </c>
      <c r="E608" t="inlineStr">
        <is>
          <t>VÄXJÖ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31571-2025</t>
        </is>
      </c>
      <c r="B609" s="1" t="n">
        <v>45833</v>
      </c>
      <c r="C609" s="1" t="n">
        <v>46196</v>
      </c>
      <c r="D609" t="inlineStr">
        <is>
          <t>KRONOBERGS LÄN</t>
        </is>
      </c>
      <c r="E609" t="inlineStr">
        <is>
          <t>VÄXJÖ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21526-2025</t>
        </is>
      </c>
      <c r="B610" s="1" t="n">
        <v>45782</v>
      </c>
      <c r="C610" s="1" t="n">
        <v>46196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42983-2025</t>
        </is>
      </c>
      <c r="B611" s="1" t="n">
        <v>45909</v>
      </c>
      <c r="C611" s="1" t="n">
        <v>46196</v>
      </c>
      <c r="D611" t="inlineStr">
        <is>
          <t>KRONOBERGS LÄN</t>
        </is>
      </c>
      <c r="E611" t="inlineStr">
        <is>
          <t>VÄXJÖ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20411-2025</t>
        </is>
      </c>
      <c r="B612" s="1" t="n">
        <v>45775</v>
      </c>
      <c r="C612" s="1" t="n">
        <v>46196</v>
      </c>
      <c r="D612" t="inlineStr">
        <is>
          <t>KRONOBERGS LÄN</t>
        </is>
      </c>
      <c r="E612" t="inlineStr">
        <is>
          <t>VÄXJÖ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32007-2025</t>
        </is>
      </c>
      <c r="B613" s="1" t="n">
        <v>45835</v>
      </c>
      <c r="C613" s="1" t="n">
        <v>46196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33713-2025</t>
        </is>
      </c>
      <c r="B614" s="1" t="n">
        <v>45841</v>
      </c>
      <c r="C614" s="1" t="n">
        <v>46196</v>
      </c>
      <c r="D614" t="inlineStr">
        <is>
          <t>KRONOBERGS LÄN</t>
        </is>
      </c>
      <c r="E614" t="inlineStr">
        <is>
          <t>VÄXJÖ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20354-2026</t>
        </is>
      </c>
      <c r="B615" s="1" t="n">
        <v>46139</v>
      </c>
      <c r="C615" s="1" t="n">
        <v>46196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30130-2025</t>
        </is>
      </c>
      <c r="B616" s="1" t="n">
        <v>45826</v>
      </c>
      <c r="C616" s="1" t="n">
        <v>46196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53552-2025</t>
        </is>
      </c>
      <c r="B617" s="1" t="n">
        <v>45960</v>
      </c>
      <c r="C617" s="1" t="n">
        <v>46196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18813-2024</t>
        </is>
      </c>
      <c r="B618" s="1" t="n">
        <v>45426</v>
      </c>
      <c r="C618" s="1" t="n">
        <v>46196</v>
      </c>
      <c r="D618" t="inlineStr">
        <is>
          <t>KRONOBERGS LÄN</t>
        </is>
      </c>
      <c r="E618" t="inlineStr">
        <is>
          <t>VÄXJÖ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42367-2025</t>
        </is>
      </c>
      <c r="B619" s="1" t="n">
        <v>45905</v>
      </c>
      <c r="C619" s="1" t="n">
        <v>46196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34345-2025</t>
        </is>
      </c>
      <c r="B620" s="1" t="n">
        <v>45846</v>
      </c>
      <c r="C620" s="1" t="n">
        <v>46196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6271-2025</t>
        </is>
      </c>
      <c r="B621" s="1" t="n">
        <v>45698</v>
      </c>
      <c r="C621" s="1" t="n">
        <v>46196</v>
      </c>
      <c r="D621" t="inlineStr">
        <is>
          <t>KRONOBERGS LÄN</t>
        </is>
      </c>
      <c r="E621" t="inlineStr">
        <is>
          <t>VÄXJÖ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30367-2025</t>
        </is>
      </c>
      <c r="B622" s="1" t="n">
        <v>45827</v>
      </c>
      <c r="C622" s="1" t="n">
        <v>46196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28165-2025</t>
        </is>
      </c>
      <c r="B623" s="1" t="n">
        <v>45818</v>
      </c>
      <c r="C623" s="1" t="n">
        <v>46196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58155-2024</t>
        </is>
      </c>
      <c r="B624" s="1" t="n">
        <v>45632</v>
      </c>
      <c r="C624" s="1" t="n">
        <v>46196</v>
      </c>
      <c r="D624" t="inlineStr">
        <is>
          <t>KRONOBERGS LÄN</t>
        </is>
      </c>
      <c r="E624" t="inlineStr">
        <is>
          <t>VÄXJÖ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26848-2025</t>
        </is>
      </c>
      <c r="B625" s="1" t="n">
        <v>45810</v>
      </c>
      <c r="C625" s="1" t="n">
        <v>46196</v>
      </c>
      <c r="D625" t="inlineStr">
        <is>
          <t>KRONOBERGS LÄN</t>
        </is>
      </c>
      <c r="E625" t="inlineStr">
        <is>
          <t>VÄXJÖ</t>
        </is>
      </c>
      <c r="F625" t="inlineStr">
        <is>
          <t>Övriga Aktiebolag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59867-2022</t>
        </is>
      </c>
      <c r="B626" s="1" t="n">
        <v>44908</v>
      </c>
      <c r="C626" s="1" t="n">
        <v>46196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45445-2023</t>
        </is>
      </c>
      <c r="B627" s="1" t="n">
        <v>45194</v>
      </c>
      <c r="C627" s="1" t="n">
        <v>46196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66863-2021</t>
        </is>
      </c>
      <c r="B628" s="1" t="n">
        <v>44522</v>
      </c>
      <c r="C628" s="1" t="n">
        <v>46196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26428-2026</t>
        </is>
      </c>
      <c r="B629" s="1" t="n">
        <v>46183</v>
      </c>
      <c r="C629" s="1" t="n">
        <v>46196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26454-2026</t>
        </is>
      </c>
      <c r="B630" s="1" t="n">
        <v>46183</v>
      </c>
      <c r="C630" s="1" t="n">
        <v>46196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5003-2024</t>
        </is>
      </c>
      <c r="B631" s="1" t="n">
        <v>45329</v>
      </c>
      <c r="C631" s="1" t="n">
        <v>46196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4459-2025</t>
        </is>
      </c>
      <c r="B632" s="1" t="n">
        <v>45686</v>
      </c>
      <c r="C632" s="1" t="n">
        <v>46196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62191-2022</t>
        </is>
      </c>
      <c r="B633" s="1" t="n">
        <v>44922</v>
      </c>
      <c r="C633" s="1" t="n">
        <v>46196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2096-2022</t>
        </is>
      </c>
      <c r="B634" s="1" t="n">
        <v>44577</v>
      </c>
      <c r="C634" s="1" t="n">
        <v>46196</v>
      </c>
      <c r="D634" t="inlineStr">
        <is>
          <t>KRONOBERGS LÄN</t>
        </is>
      </c>
      <c r="E634" t="inlineStr">
        <is>
          <t>VÄXJÖ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17934-2024</t>
        </is>
      </c>
      <c r="B635" s="1" t="n">
        <v>45419</v>
      </c>
      <c r="C635" s="1" t="n">
        <v>46196</v>
      </c>
      <c r="D635" t="inlineStr">
        <is>
          <t>KRONOBERGS LÄN</t>
        </is>
      </c>
      <c r="E635" t="inlineStr">
        <is>
          <t>VÄXJÖ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37415-2025</t>
        </is>
      </c>
      <c r="B636" s="1" t="n">
        <v>45877</v>
      </c>
      <c r="C636" s="1" t="n">
        <v>46196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26371-2026</t>
        </is>
      </c>
      <c r="B637" s="1" t="n">
        <v>46183</v>
      </c>
      <c r="C637" s="1" t="n">
        <v>46196</v>
      </c>
      <c r="D637" t="inlineStr">
        <is>
          <t>KRONOBERGS LÄN</t>
        </is>
      </c>
      <c r="E637" t="inlineStr">
        <is>
          <t>VÄXJÖ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26492-2026</t>
        </is>
      </c>
      <c r="B638" s="1" t="n">
        <v>46183</v>
      </c>
      <c r="C638" s="1" t="n">
        <v>46196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26484-2026</t>
        </is>
      </c>
      <c r="B639" s="1" t="n">
        <v>46183</v>
      </c>
      <c r="C639" s="1" t="n">
        <v>46196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22201-2024</t>
        </is>
      </c>
      <c r="B640" s="1" t="n">
        <v>45446</v>
      </c>
      <c r="C640" s="1" t="n">
        <v>46196</v>
      </c>
      <c r="D640" t="inlineStr">
        <is>
          <t>KRONOBERGS LÄN</t>
        </is>
      </c>
      <c r="E640" t="inlineStr">
        <is>
          <t>VÄXJÖ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27208-2026</t>
        </is>
      </c>
      <c r="B641" s="1" t="n">
        <v>46188</v>
      </c>
      <c r="C641" s="1" t="n">
        <v>46196</v>
      </c>
      <c r="D641" t="inlineStr">
        <is>
          <t>KRONOBERGS LÄN</t>
        </is>
      </c>
      <c r="E641" t="inlineStr">
        <is>
          <t>VÄXJÖ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27378-2026</t>
        </is>
      </c>
      <c r="B642" s="1" t="n">
        <v>46189</v>
      </c>
      <c r="C642" s="1" t="n">
        <v>46196</v>
      </c>
      <c r="D642" t="inlineStr">
        <is>
          <t>KRONOBERGS LÄN</t>
        </is>
      </c>
      <c r="E642" t="inlineStr">
        <is>
          <t>VÄXJÖ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21191-2026</t>
        </is>
      </c>
      <c r="B643" s="1" t="n">
        <v>46146</v>
      </c>
      <c r="C643" s="1" t="n">
        <v>46196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21197-2026</t>
        </is>
      </c>
      <c r="B644" s="1" t="n">
        <v>46146</v>
      </c>
      <c r="C644" s="1" t="n">
        <v>46196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21193-2026</t>
        </is>
      </c>
      <c r="B645" s="1" t="n">
        <v>46146</v>
      </c>
      <c r="C645" s="1" t="n">
        <v>46196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21336-2026</t>
        </is>
      </c>
      <c r="B646" s="1" t="n">
        <v>46147</v>
      </c>
      <c r="C646" s="1" t="n">
        <v>46196</v>
      </c>
      <c r="D646" t="inlineStr">
        <is>
          <t>KRONOBERGS LÄN</t>
        </is>
      </c>
      <c r="E646" t="inlineStr">
        <is>
          <t>VÄXJÖ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21339-2026</t>
        </is>
      </c>
      <c r="B647" s="1" t="n">
        <v>46147</v>
      </c>
      <c r="C647" s="1" t="n">
        <v>46196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21344-2026</t>
        </is>
      </c>
      <c r="B648" s="1" t="n">
        <v>46147</v>
      </c>
      <c r="C648" s="1" t="n">
        <v>46196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21231-2023</t>
        </is>
      </c>
      <c r="B649" s="1" t="n">
        <v>45058</v>
      </c>
      <c r="C649" s="1" t="n">
        <v>46196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21347-2026</t>
        </is>
      </c>
      <c r="B650" s="1" t="n">
        <v>46147</v>
      </c>
      <c r="C650" s="1" t="n">
        <v>46196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21324-2026</t>
        </is>
      </c>
      <c r="B651" s="1" t="n">
        <v>46147</v>
      </c>
      <c r="C651" s="1" t="n">
        <v>46196</v>
      </c>
      <c r="D651" t="inlineStr">
        <is>
          <t>KRONOBERGS LÄN</t>
        </is>
      </c>
      <c r="E651" t="inlineStr">
        <is>
          <t>VÄXJÖ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64083-2025</t>
        </is>
      </c>
      <c r="B652" s="1" t="n">
        <v>46021</v>
      </c>
      <c r="C652" s="1" t="n">
        <v>46196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27750-2026</t>
        </is>
      </c>
      <c r="B653" s="1" t="n">
        <v>46191</v>
      </c>
      <c r="C653" s="1" t="n">
        <v>46196</v>
      </c>
      <c r="D653" t="inlineStr">
        <is>
          <t>KRONOBERGS LÄN</t>
        </is>
      </c>
      <c r="E653" t="inlineStr">
        <is>
          <t>VÄXJÖ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21750-2026</t>
        </is>
      </c>
      <c r="B654" s="1" t="n">
        <v>46149</v>
      </c>
      <c r="C654" s="1" t="n">
        <v>46196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27758-2026</t>
        </is>
      </c>
      <c r="B655" s="1" t="n">
        <v>46191</v>
      </c>
      <c r="C655" s="1" t="n">
        <v>46196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27722-2026</t>
        </is>
      </c>
      <c r="B656" s="1" t="n">
        <v>46191</v>
      </c>
      <c r="C656" s="1" t="n">
        <v>46196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27582-2026</t>
        </is>
      </c>
      <c r="B657" s="1" t="n">
        <v>46190</v>
      </c>
      <c r="C657" s="1" t="n">
        <v>46196</v>
      </c>
      <c r="D657" t="inlineStr">
        <is>
          <t>KRONOBERGS LÄN</t>
        </is>
      </c>
      <c r="E657" t="inlineStr">
        <is>
          <t>VÄXJÖ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64084-2025</t>
        </is>
      </c>
      <c r="B658" s="1" t="n">
        <v>46021</v>
      </c>
      <c r="C658" s="1" t="n">
        <v>46196</v>
      </c>
      <c r="D658" t="inlineStr">
        <is>
          <t>KRONOBERGS LÄN</t>
        </is>
      </c>
      <c r="E658" t="inlineStr">
        <is>
          <t>VÄXJÖ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64085-2025</t>
        </is>
      </c>
      <c r="B659" s="1" t="n">
        <v>46021</v>
      </c>
      <c r="C659" s="1" t="n">
        <v>46196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14743-2024</t>
        </is>
      </c>
      <c r="B660" s="1" t="n">
        <v>45397</v>
      </c>
      <c r="C660" s="1" t="n">
        <v>46196</v>
      </c>
      <c r="D660" t="inlineStr">
        <is>
          <t>KRONOBERGS LÄN</t>
        </is>
      </c>
      <c r="E660" t="inlineStr">
        <is>
          <t>VÄXJÖ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64117-2025</t>
        </is>
      </c>
      <c r="B661" s="1" t="n">
        <v>46021</v>
      </c>
      <c r="C661" s="1" t="n">
        <v>46196</v>
      </c>
      <c r="D661" t="inlineStr">
        <is>
          <t>KRONOBERGS LÄN</t>
        </is>
      </c>
      <c r="E661" t="inlineStr">
        <is>
          <t>VÄXJÖ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64118-2025</t>
        </is>
      </c>
      <c r="B662" s="1" t="n">
        <v>46021</v>
      </c>
      <c r="C662" s="1" t="n">
        <v>46196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27755-2026</t>
        </is>
      </c>
      <c r="B663" s="1" t="n">
        <v>46191</v>
      </c>
      <c r="C663" s="1" t="n">
        <v>46196</v>
      </c>
      <c r="D663" t="inlineStr">
        <is>
          <t>KRONOBERGS LÄN</t>
        </is>
      </c>
      <c r="E663" t="inlineStr">
        <is>
          <t>VÄXJÖ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27765-2026</t>
        </is>
      </c>
      <c r="B664" s="1" t="n">
        <v>46191</v>
      </c>
      <c r="C664" s="1" t="n">
        <v>46196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21426-2026</t>
        </is>
      </c>
      <c r="B665" s="1" t="n">
        <v>46148</v>
      </c>
      <c r="C665" s="1" t="n">
        <v>46196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64119-2025</t>
        </is>
      </c>
      <c r="B666" s="1" t="n">
        <v>46021</v>
      </c>
      <c r="C666" s="1" t="n">
        <v>46196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64120-2025</t>
        </is>
      </c>
      <c r="B667" s="1" t="n">
        <v>46021</v>
      </c>
      <c r="C667" s="1" t="n">
        <v>46196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64715-2023</t>
        </is>
      </c>
      <c r="B668" s="1" t="n">
        <v>45281</v>
      </c>
      <c r="C668" s="1" t="n">
        <v>46196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22143-2026</t>
        </is>
      </c>
      <c r="B669" s="1" t="n">
        <v>46153</v>
      </c>
      <c r="C669" s="1" t="n">
        <v>46196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28136-2026</t>
        </is>
      </c>
      <c r="B670" s="1" t="n">
        <v>46195</v>
      </c>
      <c r="C670" s="1" t="n">
        <v>46196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63485-2023</t>
        </is>
      </c>
      <c r="B671" s="1" t="n">
        <v>45274</v>
      </c>
      <c r="C671" s="1" t="n">
        <v>46196</v>
      </c>
      <c r="D671" t="inlineStr">
        <is>
          <t>KRONOBERGS LÄN</t>
        </is>
      </c>
      <c r="E671" t="inlineStr">
        <is>
          <t>VÄXJÖ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27128-2026</t>
        </is>
      </c>
      <c r="B672" s="1" t="n">
        <v>46188</v>
      </c>
      <c r="C672" s="1" t="n">
        <v>46196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27124-2026</t>
        </is>
      </c>
      <c r="B673" s="1" t="n">
        <v>46188</v>
      </c>
      <c r="C673" s="1" t="n">
        <v>46196</v>
      </c>
      <c r="D673" t="inlineStr">
        <is>
          <t>KRONOBERGS LÄN</t>
        </is>
      </c>
      <c r="E673" t="inlineStr">
        <is>
          <t>VÄXJÖ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4469-2025</t>
        </is>
      </c>
      <c r="B674" s="1" t="n">
        <v>45686</v>
      </c>
      <c r="C674" s="1" t="n">
        <v>46196</v>
      </c>
      <c r="D674" t="inlineStr">
        <is>
          <t>KRONOBERGS LÄN</t>
        </is>
      </c>
      <c r="E674" t="inlineStr">
        <is>
          <t>VÄXJÖ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53196-2024</t>
        </is>
      </c>
      <c r="B675" s="1" t="n">
        <v>45611</v>
      </c>
      <c r="C675" s="1" t="n">
        <v>46196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49000-2024</t>
        </is>
      </c>
      <c r="B676" s="1" t="n">
        <v>45594</v>
      </c>
      <c r="C676" s="1" t="n">
        <v>46196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49003-2024</t>
        </is>
      </c>
      <c r="B677" s="1" t="n">
        <v>45594</v>
      </c>
      <c r="C677" s="1" t="n">
        <v>46196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64685-2023</t>
        </is>
      </c>
      <c r="B678" s="1" t="n">
        <v>45281</v>
      </c>
      <c r="C678" s="1" t="n">
        <v>46196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16590-2023</t>
        </is>
      </c>
      <c r="B679" s="1" t="n">
        <v>45030</v>
      </c>
      <c r="C679" s="1" t="n">
        <v>46196</v>
      </c>
      <c r="D679" t="inlineStr">
        <is>
          <t>KRONOBERGS LÄN</t>
        </is>
      </c>
      <c r="E679" t="inlineStr">
        <is>
          <t>VÄXJÖ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49068-2023</t>
        </is>
      </c>
      <c r="B680" s="1" t="n">
        <v>45210</v>
      </c>
      <c r="C680" s="1" t="n">
        <v>46196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30789-2023</t>
        </is>
      </c>
      <c r="B681" s="1" t="n">
        <v>45112</v>
      </c>
      <c r="C681" s="1" t="n">
        <v>46196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6487-2023</t>
        </is>
      </c>
      <c r="B682" s="1" t="n">
        <v>44966</v>
      </c>
      <c r="C682" s="1" t="n">
        <v>46196</v>
      </c>
      <c r="D682" t="inlineStr">
        <is>
          <t>KRONOBERGS LÄN</t>
        </is>
      </c>
      <c r="E682" t="inlineStr">
        <is>
          <t>VÄXJÖ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13447-2024</t>
        </is>
      </c>
      <c r="B683" s="1" t="n">
        <v>45387</v>
      </c>
      <c r="C683" s="1" t="n">
        <v>46196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41500-2024</t>
        </is>
      </c>
      <c r="B684" s="1" t="n">
        <v>45560</v>
      </c>
      <c r="C684" s="1" t="n">
        <v>46196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26980-2023</t>
        </is>
      </c>
      <c r="B685" s="1" t="n">
        <v>45091</v>
      </c>
      <c r="C685" s="1" t="n">
        <v>46196</v>
      </c>
      <c r="D685" t="inlineStr">
        <is>
          <t>KRONOBERGS LÄN</t>
        </is>
      </c>
      <c r="E685" t="inlineStr">
        <is>
          <t>VÄXJÖ</t>
        </is>
      </c>
      <c r="F685" t="inlineStr">
        <is>
          <t>Kyrkan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27096-2022</t>
        </is>
      </c>
      <c r="B686" s="1" t="n">
        <v>44741</v>
      </c>
      <c r="C686" s="1" t="n">
        <v>46196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27097-2022</t>
        </is>
      </c>
      <c r="B687" s="1" t="n">
        <v>44741</v>
      </c>
      <c r="C687" s="1" t="n">
        <v>46196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9821-2025</t>
        </is>
      </c>
      <c r="B688" s="1" t="n">
        <v>45715</v>
      </c>
      <c r="C688" s="1" t="n">
        <v>46196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18694-2022</t>
        </is>
      </c>
      <c r="B689" s="1" t="n">
        <v>44687</v>
      </c>
      <c r="C689" s="1" t="n">
        <v>46196</v>
      </c>
      <c r="D689" t="inlineStr">
        <is>
          <t>KRONOBERGS LÄN</t>
        </is>
      </c>
      <c r="E689" t="inlineStr">
        <is>
          <t>VÄXJÖ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20621-2024</t>
        </is>
      </c>
      <c r="B690" s="1" t="n">
        <v>45436</v>
      </c>
      <c r="C690" s="1" t="n">
        <v>46196</v>
      </c>
      <c r="D690" t="inlineStr">
        <is>
          <t>KRONOBERGS LÄN</t>
        </is>
      </c>
      <c r="E690" t="inlineStr">
        <is>
          <t>VÄXJÖ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60621-2023</t>
        </is>
      </c>
      <c r="B691" s="1" t="n">
        <v>45260</v>
      </c>
      <c r="C691" s="1" t="n">
        <v>46196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35868-2023</t>
        </is>
      </c>
      <c r="B692" s="1" t="n">
        <v>45148</v>
      </c>
      <c r="C692" s="1" t="n">
        <v>46196</v>
      </c>
      <c r="D692" t="inlineStr">
        <is>
          <t>KRONOBERGS LÄN</t>
        </is>
      </c>
      <c r="E692" t="inlineStr">
        <is>
          <t>VÄXJÖ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35876-2023</t>
        </is>
      </c>
      <c r="B693" s="1" t="n">
        <v>45148</v>
      </c>
      <c r="C693" s="1" t="n">
        <v>46196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72429-2021</t>
        </is>
      </c>
      <c r="B694" s="1" t="n">
        <v>44545</v>
      </c>
      <c r="C694" s="1" t="n">
        <v>46196</v>
      </c>
      <c r="D694" t="inlineStr">
        <is>
          <t>KRONOBERGS LÄN</t>
        </is>
      </c>
      <c r="E694" t="inlineStr">
        <is>
          <t>VÄXJÖ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26085-2023</t>
        </is>
      </c>
      <c r="B695" s="1" t="n">
        <v>45091</v>
      </c>
      <c r="C695" s="1" t="n">
        <v>46196</v>
      </c>
      <c r="D695" t="inlineStr">
        <is>
          <t>KRONOBERGS LÄN</t>
        </is>
      </c>
      <c r="E695" t="inlineStr">
        <is>
          <t>VÄXJÖ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13682-2024</t>
        </is>
      </c>
      <c r="B696" s="1" t="n">
        <v>45390</v>
      </c>
      <c r="C696" s="1" t="n">
        <v>46196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32828-2023</t>
        </is>
      </c>
      <c r="B697" s="1" t="n">
        <v>45124</v>
      </c>
      <c r="C697" s="1" t="n">
        <v>46196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12999-2024</t>
        </is>
      </c>
      <c r="B698" s="1" t="n">
        <v>45385</v>
      </c>
      <c r="C698" s="1" t="n">
        <v>46196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6870-2024</t>
        </is>
      </c>
      <c r="B699" s="1" t="n">
        <v>45342</v>
      </c>
      <c r="C699" s="1" t="n">
        <v>46196</v>
      </c>
      <c r="D699" t="inlineStr">
        <is>
          <t>KRONOBERGS LÄN</t>
        </is>
      </c>
      <c r="E699" t="inlineStr">
        <is>
          <t>VÄXJÖ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19278-2023</t>
        </is>
      </c>
      <c r="B700" s="1" t="n">
        <v>45049</v>
      </c>
      <c r="C700" s="1" t="n">
        <v>46196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57037-2023</t>
        </is>
      </c>
      <c r="B701" s="1" t="n">
        <v>45244</v>
      </c>
      <c r="C701" s="1" t="n">
        <v>46196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57188-2024</t>
        </is>
      </c>
      <c r="B702" s="1" t="n">
        <v>45629</v>
      </c>
      <c r="C702" s="1" t="n">
        <v>46196</v>
      </c>
      <c r="D702" t="inlineStr">
        <is>
          <t>KRONOBERGS LÄN</t>
        </is>
      </c>
      <c r="E702" t="inlineStr">
        <is>
          <t>VÄXJÖ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50017-2024</t>
        </is>
      </c>
      <c r="B703" s="1" t="n">
        <v>45599</v>
      </c>
      <c r="C703" s="1" t="n">
        <v>46196</v>
      </c>
      <c r="D703" t="inlineStr">
        <is>
          <t>KRONOBERGS LÄN</t>
        </is>
      </c>
      <c r="E703" t="inlineStr">
        <is>
          <t>VÄXJÖ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35061-2023</t>
        </is>
      </c>
      <c r="B704" s="1" t="n">
        <v>45145</v>
      </c>
      <c r="C704" s="1" t="n">
        <v>46196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45651-2022</t>
        </is>
      </c>
      <c r="B705" s="1" t="n">
        <v>44845</v>
      </c>
      <c r="C705" s="1" t="n">
        <v>46196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40216-2023</t>
        </is>
      </c>
      <c r="B706" s="1" t="n">
        <v>45169</v>
      </c>
      <c r="C706" s="1" t="n">
        <v>46196</v>
      </c>
      <c r="D706" t="inlineStr">
        <is>
          <t>KRONOBERGS LÄN</t>
        </is>
      </c>
      <c r="E706" t="inlineStr">
        <is>
          <t>VÄXJÖ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22058-2022</t>
        </is>
      </c>
      <c r="B707" s="1" t="n">
        <v>44711</v>
      </c>
      <c r="C707" s="1" t="n">
        <v>46196</v>
      </c>
      <c r="D707" t="inlineStr">
        <is>
          <t>KRONOBERGS LÄN</t>
        </is>
      </c>
      <c r="E707" t="inlineStr">
        <is>
          <t>VÄXJÖ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36724-2023</t>
        </is>
      </c>
      <c r="B708" s="1" t="n">
        <v>45153</v>
      </c>
      <c r="C708" s="1" t="n">
        <v>46196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1813-2023</t>
        </is>
      </c>
      <c r="B709" s="1" t="n">
        <v>44938</v>
      </c>
      <c r="C709" s="1" t="n">
        <v>46196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43899-2021</t>
        </is>
      </c>
      <c r="B710" s="1" t="n">
        <v>44434</v>
      </c>
      <c r="C710" s="1" t="n">
        <v>46196</v>
      </c>
      <c r="D710" t="inlineStr">
        <is>
          <t>KRONOBERGS LÄN</t>
        </is>
      </c>
      <c r="E710" t="inlineStr">
        <is>
          <t>VÄXJÖ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28972-2023</t>
        </is>
      </c>
      <c r="B711" s="1" t="n">
        <v>45104</v>
      </c>
      <c r="C711" s="1" t="n">
        <v>46196</v>
      </c>
      <c r="D711" t="inlineStr">
        <is>
          <t>KRONOBERGS LÄN</t>
        </is>
      </c>
      <c r="E711" t="inlineStr">
        <is>
          <t>VÄXJÖ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7266-2025</t>
        </is>
      </c>
      <c r="B712" s="1" t="n">
        <v>45702</v>
      </c>
      <c r="C712" s="1" t="n">
        <v>46196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19247-2025</t>
        </is>
      </c>
      <c r="B713" s="1" t="n">
        <v>45769</v>
      </c>
      <c r="C713" s="1" t="n">
        <v>46196</v>
      </c>
      <c r="D713" t="inlineStr">
        <is>
          <t>KRONOBERGS LÄN</t>
        </is>
      </c>
      <c r="E713" t="inlineStr">
        <is>
          <t>VÄXJÖ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13371-2024</t>
        </is>
      </c>
      <c r="B714" s="1" t="n">
        <v>45387</v>
      </c>
      <c r="C714" s="1" t="n">
        <v>46196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31126-2023</t>
        </is>
      </c>
      <c r="B715" s="1" t="n">
        <v>45113</v>
      </c>
      <c r="C715" s="1" t="n">
        <v>46196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45579-2024</t>
        </is>
      </c>
      <c r="B716" s="1" t="n">
        <v>45579</v>
      </c>
      <c r="C716" s="1" t="n">
        <v>46196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32490-2024</t>
        </is>
      </c>
      <c r="B717" s="1" t="n">
        <v>45513</v>
      </c>
      <c r="C717" s="1" t="n">
        <v>46196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49961-2023</t>
        </is>
      </c>
      <c r="B718" s="1" t="n">
        <v>45215</v>
      </c>
      <c r="C718" s="1" t="n">
        <v>46196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46196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42360-2021</t>
        </is>
      </c>
      <c r="B720" s="1" t="n">
        <v>44427</v>
      </c>
      <c r="C720" s="1" t="n">
        <v>46196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53844-2023</t>
        </is>
      </c>
      <c r="B721" s="1" t="n">
        <v>45224</v>
      </c>
      <c r="C721" s="1" t="n">
        <v>46196</v>
      </c>
      <c r="D721" t="inlineStr">
        <is>
          <t>KRONOBERGS LÄN</t>
        </is>
      </c>
      <c r="E721" t="inlineStr">
        <is>
          <t>VÄXJÖ</t>
        </is>
      </c>
      <c r="F721" t="inlineStr">
        <is>
          <t>Kyrkan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12618-2022</t>
        </is>
      </c>
      <c r="B722" s="1" t="n">
        <v>44641</v>
      </c>
      <c r="C722" s="1" t="n">
        <v>46196</v>
      </c>
      <c r="D722" t="inlineStr">
        <is>
          <t>KRONOBERGS LÄN</t>
        </is>
      </c>
      <c r="E722" t="inlineStr">
        <is>
          <t>VÄXJÖ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22241-2023</t>
        </is>
      </c>
      <c r="B723" s="1" t="n">
        <v>45070</v>
      </c>
      <c r="C723" s="1" t="n">
        <v>46196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33393-2023</t>
        </is>
      </c>
      <c r="B724" s="1" t="n">
        <v>45128</v>
      </c>
      <c r="C724" s="1" t="n">
        <v>46196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60411-2023</t>
        </is>
      </c>
      <c r="B725" s="1" t="n">
        <v>45259</v>
      </c>
      <c r="C725" s="1" t="n">
        <v>46196</v>
      </c>
      <c r="D725" t="inlineStr">
        <is>
          <t>KRONOBERGS LÄN</t>
        </is>
      </c>
      <c r="E725" t="inlineStr">
        <is>
          <t>VÄXJÖ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2107-2024</t>
        </is>
      </c>
      <c r="B726" s="1" t="n">
        <v>45309</v>
      </c>
      <c r="C726" s="1" t="n">
        <v>46196</v>
      </c>
      <c r="D726" t="inlineStr">
        <is>
          <t>KRONOBERGS LÄN</t>
        </is>
      </c>
      <c r="E726" t="inlineStr">
        <is>
          <t>VÄXJÖ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2115-2024</t>
        </is>
      </c>
      <c r="B727" s="1" t="n">
        <v>45309</v>
      </c>
      <c r="C727" s="1" t="n">
        <v>46196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29923-2024</t>
        </is>
      </c>
      <c r="B728" s="1" t="n">
        <v>45488</v>
      </c>
      <c r="C728" s="1" t="n">
        <v>46196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14427-2023</t>
        </is>
      </c>
      <c r="B729" s="1" t="n">
        <v>45009</v>
      </c>
      <c r="C729" s="1" t="n">
        <v>46196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4362-2025</t>
        </is>
      </c>
      <c r="B730" s="1" t="n">
        <v>45686</v>
      </c>
      <c r="C730" s="1" t="n">
        <v>46196</v>
      </c>
      <c r="D730" t="inlineStr">
        <is>
          <t>KRONOBERGS LÄN</t>
        </is>
      </c>
      <c r="E730" t="inlineStr">
        <is>
          <t>VÄXJÖ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28570-2023</t>
        </is>
      </c>
      <c r="B731" s="1" t="n">
        <v>45103</v>
      </c>
      <c r="C731" s="1" t="n">
        <v>46196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48236-2022</t>
        </is>
      </c>
      <c r="B732" s="1" t="n">
        <v>44858</v>
      </c>
      <c r="C732" s="1" t="n">
        <v>46196</v>
      </c>
      <c r="D732" t="inlineStr">
        <is>
          <t>KRONOBERGS LÄN</t>
        </is>
      </c>
      <c r="E732" t="inlineStr">
        <is>
          <t>VÄXJÖ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59298-2023</t>
        </is>
      </c>
      <c r="B733" s="1" t="n">
        <v>45253</v>
      </c>
      <c r="C733" s="1" t="n">
        <v>46196</v>
      </c>
      <c r="D733" t="inlineStr">
        <is>
          <t>KRONOBERGS LÄN</t>
        </is>
      </c>
      <c r="E733" t="inlineStr">
        <is>
          <t>VÄXJÖ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58134-2023</t>
        </is>
      </c>
      <c r="B734" s="1" t="n">
        <v>45250</v>
      </c>
      <c r="C734" s="1" t="n">
        <v>46196</v>
      </c>
      <c r="D734" t="inlineStr">
        <is>
          <t>KRONOBERGS LÄN</t>
        </is>
      </c>
      <c r="E734" t="inlineStr">
        <is>
          <t>VÄXJÖ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15175-2023</t>
        </is>
      </c>
      <c r="B735" s="1" t="n">
        <v>45016</v>
      </c>
      <c r="C735" s="1" t="n">
        <v>46196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1704-2025</t>
        </is>
      </c>
      <c r="B736" s="1" t="n">
        <v>45670</v>
      </c>
      <c r="C736" s="1" t="n">
        <v>46196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58180-2023</t>
        </is>
      </c>
      <c r="B737" s="1" t="n">
        <v>45250</v>
      </c>
      <c r="C737" s="1" t="n">
        <v>46196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37355-2021</t>
        </is>
      </c>
      <c r="B738" s="1" t="n">
        <v>44397</v>
      </c>
      <c r="C738" s="1" t="n">
        <v>46196</v>
      </c>
      <c r="D738" t="inlineStr">
        <is>
          <t>KRONOBERGS LÄN</t>
        </is>
      </c>
      <c r="E738" t="inlineStr">
        <is>
          <t>VÄXJÖ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10246-2023</t>
        </is>
      </c>
      <c r="B739" s="1" t="n">
        <v>44986</v>
      </c>
      <c r="C739" s="1" t="n">
        <v>46196</v>
      </c>
      <c r="D739" t="inlineStr">
        <is>
          <t>KRONOBERGS LÄN</t>
        </is>
      </c>
      <c r="E739" t="inlineStr">
        <is>
          <t>VÄXJÖ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43279-2023</t>
        </is>
      </c>
      <c r="B740" s="1" t="n">
        <v>45183</v>
      </c>
      <c r="C740" s="1" t="n">
        <v>46196</v>
      </c>
      <c r="D740" t="inlineStr">
        <is>
          <t>KRONOBERGS LÄN</t>
        </is>
      </c>
      <c r="E740" t="inlineStr">
        <is>
          <t>VÄXJÖ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8571-2023</t>
        </is>
      </c>
      <c r="B741" s="1" t="n">
        <v>44977</v>
      </c>
      <c r="C741" s="1" t="n">
        <v>46196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31363-2023</t>
        </is>
      </c>
      <c r="B742" s="1" t="n">
        <v>45114</v>
      </c>
      <c r="C742" s="1" t="n">
        <v>46196</v>
      </c>
      <c r="D742" t="inlineStr">
        <is>
          <t>KRONOBERGS LÄN</t>
        </is>
      </c>
      <c r="E742" t="inlineStr">
        <is>
          <t>VÄXJÖ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31364-2023</t>
        </is>
      </c>
      <c r="B743" s="1" t="n">
        <v>45114</v>
      </c>
      <c r="C743" s="1" t="n">
        <v>46196</v>
      </c>
      <c r="D743" t="inlineStr">
        <is>
          <t>KRONOBERGS LÄN</t>
        </is>
      </c>
      <c r="E743" t="inlineStr">
        <is>
          <t>VÄXJÖ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375-2024</t>
        </is>
      </c>
      <c r="B744" s="1" t="n">
        <v>45296</v>
      </c>
      <c r="C744" s="1" t="n">
        <v>46196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42705-2023</t>
        </is>
      </c>
      <c r="B745" s="1" t="n">
        <v>45181</v>
      </c>
      <c r="C745" s="1" t="n">
        <v>46196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25806-2023</t>
        </is>
      </c>
      <c r="B746" s="1" t="n">
        <v>45090</v>
      </c>
      <c r="C746" s="1" t="n">
        <v>46196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50919-2022</t>
        </is>
      </c>
      <c r="B747" s="1" t="n">
        <v>44867</v>
      </c>
      <c r="C747" s="1" t="n">
        <v>46196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49975-2024</t>
        </is>
      </c>
      <c r="B748" s="1" t="n">
        <v>45597</v>
      </c>
      <c r="C748" s="1" t="n">
        <v>46196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15504-2024</t>
        </is>
      </c>
      <c r="B749" s="1" t="n">
        <v>45401</v>
      </c>
      <c r="C749" s="1" t="n">
        <v>46196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4171-2025</t>
        </is>
      </c>
      <c r="B750" s="1" t="n">
        <v>45685</v>
      </c>
      <c r="C750" s="1" t="n">
        <v>46196</v>
      </c>
      <c r="D750" t="inlineStr">
        <is>
          <t>KRONOBERGS LÄN</t>
        </is>
      </c>
      <c r="E750" t="inlineStr">
        <is>
          <t>VÄXJÖ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7682-2023</t>
        </is>
      </c>
      <c r="B751" s="1" t="n">
        <v>44972</v>
      </c>
      <c r="C751" s="1" t="n">
        <v>46196</v>
      </c>
      <c r="D751" t="inlineStr">
        <is>
          <t>KRONOBERGS LÄN</t>
        </is>
      </c>
      <c r="E751" t="inlineStr">
        <is>
          <t>VÄXJÖ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188-2023</t>
        </is>
      </c>
      <c r="B752" s="1" t="n">
        <v>44928</v>
      </c>
      <c r="C752" s="1" t="n">
        <v>46196</v>
      </c>
      <c r="D752" t="inlineStr">
        <is>
          <t>KRONOBERGS LÄN</t>
        </is>
      </c>
      <c r="E752" t="inlineStr">
        <is>
          <t>VÄXJÖ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43254-2024</t>
        </is>
      </c>
      <c r="B753" s="1" t="n">
        <v>45568</v>
      </c>
      <c r="C753" s="1" t="n">
        <v>46196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21046-2023</t>
        </is>
      </c>
      <c r="B754" s="1" t="n">
        <v>45061</v>
      </c>
      <c r="C754" s="1" t="n">
        <v>46196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59065-2022</t>
        </is>
      </c>
      <c r="B755" s="1" t="n">
        <v>44904</v>
      </c>
      <c r="C755" s="1" t="n">
        <v>46196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59066-2022</t>
        </is>
      </c>
      <c r="B756" s="1" t="n">
        <v>44904</v>
      </c>
      <c r="C756" s="1" t="n">
        <v>46196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18060-2024</t>
        </is>
      </c>
      <c r="B757" s="1" t="n">
        <v>45420</v>
      </c>
      <c r="C757" s="1" t="n">
        <v>46196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31309-2024</t>
        </is>
      </c>
      <c r="B758" s="1" t="n">
        <v>45504</v>
      </c>
      <c r="C758" s="1" t="n">
        <v>46196</v>
      </c>
      <c r="D758" t="inlineStr">
        <is>
          <t>KRONOBERGS LÄN</t>
        </is>
      </c>
      <c r="E758" t="inlineStr">
        <is>
          <t>VÄXJÖ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46963-2024</t>
        </is>
      </c>
      <c r="B759" s="1" t="n">
        <v>45583</v>
      </c>
      <c r="C759" s="1" t="n">
        <v>46196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16593-2025</t>
        </is>
      </c>
      <c r="B760" s="1" t="n">
        <v>45753</v>
      </c>
      <c r="C760" s="1" t="n">
        <v>46196</v>
      </c>
      <c r="D760" t="inlineStr">
        <is>
          <t>KRONOBERGS LÄN</t>
        </is>
      </c>
      <c r="E760" t="inlineStr">
        <is>
          <t>VÄXJÖ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54616-2024</t>
        </is>
      </c>
      <c r="B761" s="1" t="n">
        <v>45617</v>
      </c>
      <c r="C761" s="1" t="n">
        <v>46196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32549-2021</t>
        </is>
      </c>
      <c r="B762" s="1" t="n">
        <v>44370</v>
      </c>
      <c r="C762" s="1" t="n">
        <v>46196</v>
      </c>
      <c r="D762" t="inlineStr">
        <is>
          <t>KRONOBERGS LÄN</t>
        </is>
      </c>
      <c r="E762" t="inlineStr">
        <is>
          <t>VÄXJÖ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16214-2022</t>
        </is>
      </c>
      <c r="B763" s="1" t="n">
        <v>44670</v>
      </c>
      <c r="C763" s="1" t="n">
        <v>46196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4318-2024</t>
        </is>
      </c>
      <c r="B764" s="1" t="n">
        <v>45324</v>
      </c>
      <c r="C764" s="1" t="n">
        <v>46196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16449-2023</t>
        </is>
      </c>
      <c r="B765" s="1" t="n">
        <v>45029</v>
      </c>
      <c r="C765" s="1" t="n">
        <v>46196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14263-2022</t>
        </is>
      </c>
      <c r="B766" s="1" t="n">
        <v>44651</v>
      </c>
      <c r="C766" s="1" t="n">
        <v>46196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10070-2025</t>
        </is>
      </c>
      <c r="B767" s="1" t="n">
        <v>45719</v>
      </c>
      <c r="C767" s="1" t="n">
        <v>46196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10075-2025</t>
        </is>
      </c>
      <c r="B768" s="1" t="n">
        <v>45719</v>
      </c>
      <c r="C768" s="1" t="n">
        <v>46196</v>
      </c>
      <c r="D768" t="inlineStr">
        <is>
          <t>KRONOBERGS LÄN</t>
        </is>
      </c>
      <c r="E768" t="inlineStr">
        <is>
          <t>VÄXJÖ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37113-2021</t>
        </is>
      </c>
      <c r="B769" s="1" t="n">
        <v>44393</v>
      </c>
      <c r="C769" s="1" t="n">
        <v>46196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35934-2024</t>
        </is>
      </c>
      <c r="B770" s="1" t="n">
        <v>45533</v>
      </c>
      <c r="C770" s="1" t="n">
        <v>46196</v>
      </c>
      <c r="D770" t="inlineStr">
        <is>
          <t>KRONOBERGS LÄN</t>
        </is>
      </c>
      <c r="E770" t="inlineStr">
        <is>
          <t>VÄXJÖ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35543-2023</t>
        </is>
      </c>
      <c r="B771" s="1" t="n">
        <v>45147</v>
      </c>
      <c r="C771" s="1" t="n">
        <v>46196</v>
      </c>
      <c r="D771" t="inlineStr">
        <is>
          <t>KRONOBERGS LÄN</t>
        </is>
      </c>
      <c r="E771" t="inlineStr">
        <is>
          <t>VÄXJÖ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13978-2024</t>
        </is>
      </c>
      <c r="B772" s="1" t="n">
        <v>45392</v>
      </c>
      <c r="C772" s="1" t="n">
        <v>46196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14126-2024</t>
        </is>
      </c>
      <c r="B773" s="1" t="n">
        <v>45392</v>
      </c>
      <c r="C773" s="1" t="n">
        <v>46196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28565-2023</t>
        </is>
      </c>
      <c r="B774" s="1" t="n">
        <v>45103</v>
      </c>
      <c r="C774" s="1" t="n">
        <v>46196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28567-2023</t>
        </is>
      </c>
      <c r="B775" s="1" t="n">
        <v>45103</v>
      </c>
      <c r="C775" s="1" t="n">
        <v>46196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28576-2023</t>
        </is>
      </c>
      <c r="B776" s="1" t="n">
        <v>45103</v>
      </c>
      <c r="C776" s="1" t="n">
        <v>46196</v>
      </c>
      <c r="D776" t="inlineStr">
        <is>
          <t>KRONOBERGS LÄN</t>
        </is>
      </c>
      <c r="E776" t="inlineStr">
        <is>
          <t>VÄXJÖ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7871-2024</t>
        </is>
      </c>
      <c r="B777" s="1" t="n">
        <v>45350</v>
      </c>
      <c r="C777" s="1" t="n">
        <v>46196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58046-2023</t>
        </is>
      </c>
      <c r="B778" s="1" t="n">
        <v>45247</v>
      </c>
      <c r="C778" s="1" t="n">
        <v>46196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41149-2024</t>
        </is>
      </c>
      <c r="B779" s="1" t="n">
        <v>45559</v>
      </c>
      <c r="C779" s="1" t="n">
        <v>46196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45623-2024</t>
        </is>
      </c>
      <c r="B780" s="1" t="n">
        <v>45579</v>
      </c>
      <c r="C780" s="1" t="n">
        <v>46196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19074-2024</t>
        </is>
      </c>
      <c r="B781" s="1" t="n">
        <v>45427</v>
      </c>
      <c r="C781" s="1" t="n">
        <v>46196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58195-2023</t>
        </is>
      </c>
      <c r="B782" s="1" t="n">
        <v>45250</v>
      </c>
      <c r="C782" s="1" t="n">
        <v>46196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12916-2025</t>
        </is>
      </c>
      <c r="B783" s="1" t="n">
        <v>45733</v>
      </c>
      <c r="C783" s="1" t="n">
        <v>46196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73647-2021</t>
        </is>
      </c>
      <c r="B784" s="1" t="n">
        <v>44552</v>
      </c>
      <c r="C784" s="1" t="n">
        <v>46196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42296-2023</t>
        </is>
      </c>
      <c r="B785" s="1" t="n">
        <v>45180</v>
      </c>
      <c r="C785" s="1" t="n">
        <v>46196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46044-2024</t>
        </is>
      </c>
      <c r="B786" s="1" t="n">
        <v>45580</v>
      </c>
      <c r="C786" s="1" t="n">
        <v>46196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30439-2022</t>
        </is>
      </c>
      <c r="B787" s="1" t="n">
        <v>44761</v>
      </c>
      <c r="C787" s="1" t="n">
        <v>46196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28219-2024</t>
        </is>
      </c>
      <c r="B788" s="1" t="n">
        <v>45477</v>
      </c>
      <c r="C788" s="1" t="n">
        <v>46196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41019-2024</t>
        </is>
      </c>
      <c r="B789" s="1" t="n">
        <v>45559</v>
      </c>
      <c r="C789" s="1" t="n">
        <v>46196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36522-2023</t>
        </is>
      </c>
      <c r="B790" s="1" t="n">
        <v>45153</v>
      </c>
      <c r="C790" s="1" t="n">
        <v>46196</v>
      </c>
      <c r="D790" t="inlineStr">
        <is>
          <t>KRONOBERGS LÄN</t>
        </is>
      </c>
      <c r="E790" t="inlineStr">
        <is>
          <t>VÄXJÖ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18269-2024</t>
        </is>
      </c>
      <c r="B791" s="1" t="n">
        <v>45421</v>
      </c>
      <c r="C791" s="1" t="n">
        <v>46196</v>
      </c>
      <c r="D791" t="inlineStr">
        <is>
          <t>KRONOBERGS LÄN</t>
        </is>
      </c>
      <c r="E791" t="inlineStr">
        <is>
          <t>VÄXJÖ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41305-2021</t>
        </is>
      </c>
      <c r="B792" s="1" t="n">
        <v>44424</v>
      </c>
      <c r="C792" s="1" t="n">
        <v>46196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37924-2022</t>
        </is>
      </c>
      <c r="B793" s="1" t="n">
        <v>44811</v>
      </c>
      <c r="C793" s="1" t="n">
        <v>46196</v>
      </c>
      <c r="D793" t="inlineStr">
        <is>
          <t>KRONOBERGS LÄN</t>
        </is>
      </c>
      <c r="E793" t="inlineStr">
        <is>
          <t>VÄXJÖ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31022-2023</t>
        </is>
      </c>
      <c r="B794" s="1" t="n">
        <v>45113</v>
      </c>
      <c r="C794" s="1" t="n">
        <v>46196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31029-2023</t>
        </is>
      </c>
      <c r="B795" s="1" t="n">
        <v>45113</v>
      </c>
      <c r="C795" s="1" t="n">
        <v>46196</v>
      </c>
      <c r="D795" t="inlineStr">
        <is>
          <t>KRONOBERGS LÄN</t>
        </is>
      </c>
      <c r="E795" t="inlineStr">
        <is>
          <t>VÄXJÖ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57443-2022</t>
        </is>
      </c>
      <c r="B796" s="1" t="n">
        <v>44896</v>
      </c>
      <c r="C796" s="1" t="n">
        <v>46196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36919-2024</t>
        </is>
      </c>
      <c r="B797" s="1" t="n">
        <v>45538</v>
      </c>
      <c r="C797" s="1" t="n">
        <v>46196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60203-2022</t>
        </is>
      </c>
      <c r="B798" s="1" t="n">
        <v>44903</v>
      </c>
      <c r="C798" s="1" t="n">
        <v>46196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61964-2021</t>
        </is>
      </c>
      <c r="B799" s="1" t="n">
        <v>44502</v>
      </c>
      <c r="C799" s="1" t="n">
        <v>46196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36745-2024</t>
        </is>
      </c>
      <c r="B800" s="1" t="n">
        <v>45538</v>
      </c>
      <c r="C800" s="1" t="n">
        <v>46196</v>
      </c>
      <c r="D800" t="inlineStr">
        <is>
          <t>KRONOBERGS LÄN</t>
        </is>
      </c>
      <c r="E800" t="inlineStr">
        <is>
          <t>VÄXJÖ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1011-2024</t>
        </is>
      </c>
      <c r="B801" s="1" t="n">
        <v>45301</v>
      </c>
      <c r="C801" s="1" t="n">
        <v>46196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5477-2022</t>
        </is>
      </c>
      <c r="B802" s="1" t="n">
        <v>44595</v>
      </c>
      <c r="C802" s="1" t="n">
        <v>46196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5165-2024</t>
        </is>
      </c>
      <c r="B803" s="1" t="n">
        <v>45330</v>
      </c>
      <c r="C803" s="1" t="n">
        <v>46196</v>
      </c>
      <c r="D803" t="inlineStr">
        <is>
          <t>KRONOBERGS LÄN</t>
        </is>
      </c>
      <c r="E803" t="inlineStr">
        <is>
          <t>VÄXJÖ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58181-2023</t>
        </is>
      </c>
      <c r="B804" s="1" t="n">
        <v>45250</v>
      </c>
      <c r="C804" s="1" t="n">
        <v>46196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4721-2022</t>
        </is>
      </c>
      <c r="B805" s="1" t="n">
        <v>44592</v>
      </c>
      <c r="C805" s="1" t="n">
        <v>46196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10892-2025</t>
        </is>
      </c>
      <c r="B806" s="1" t="n">
        <v>45722</v>
      </c>
      <c r="C806" s="1" t="n">
        <v>46196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40622-2024</t>
        </is>
      </c>
      <c r="B807" s="1" t="n">
        <v>45557</v>
      </c>
      <c r="C807" s="1" t="n">
        <v>46196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19712-2024</t>
        </is>
      </c>
      <c r="B808" s="1" t="n">
        <v>45432</v>
      </c>
      <c r="C808" s="1" t="n">
        <v>46196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18427-2022</t>
        </is>
      </c>
      <c r="B809" s="1" t="n">
        <v>44686</v>
      </c>
      <c r="C809" s="1" t="n">
        <v>46196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15223-2024</t>
        </is>
      </c>
      <c r="B810" s="1" t="n">
        <v>45400</v>
      </c>
      <c r="C810" s="1" t="n">
        <v>46196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46196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2913-2024</t>
        </is>
      </c>
      <c r="B812" s="1" t="n">
        <v>45315</v>
      </c>
      <c r="C812" s="1" t="n">
        <v>46196</v>
      </c>
      <c r="D812" t="inlineStr">
        <is>
          <t>KRONOBERGS LÄN</t>
        </is>
      </c>
      <c r="E812" t="inlineStr">
        <is>
          <t>VÄXJÖ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21768-2023</t>
        </is>
      </c>
      <c r="B813" s="1" t="n">
        <v>45065</v>
      </c>
      <c r="C813" s="1" t="n">
        <v>46196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27675-2022</t>
        </is>
      </c>
      <c r="B814" s="1" t="n">
        <v>44743</v>
      </c>
      <c r="C814" s="1" t="n">
        <v>46196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32498-2023</t>
        </is>
      </c>
      <c r="B815" s="1" t="n">
        <v>45121</v>
      </c>
      <c r="C815" s="1" t="n">
        <v>46196</v>
      </c>
      <c r="D815" t="inlineStr">
        <is>
          <t>KRONOBERGS LÄN</t>
        </is>
      </c>
      <c r="E815" t="inlineStr">
        <is>
          <t>VÄXJÖ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42362-2022</t>
        </is>
      </c>
      <c r="B816" s="1" t="n">
        <v>44831</v>
      </c>
      <c r="C816" s="1" t="n">
        <v>46196</v>
      </c>
      <c r="D816" t="inlineStr">
        <is>
          <t>KRONOBERGS LÄN</t>
        </is>
      </c>
      <c r="E816" t="inlineStr">
        <is>
          <t>VÄXJÖ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1234-2024</t>
        </is>
      </c>
      <c r="B817" s="1" t="n">
        <v>45302</v>
      </c>
      <c r="C817" s="1" t="n">
        <v>46196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44426-2024</t>
        </is>
      </c>
      <c r="B818" s="1" t="n">
        <v>45573</v>
      </c>
      <c r="C818" s="1" t="n">
        <v>46196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16945-2022</t>
        </is>
      </c>
      <c r="B819" s="1" t="n">
        <v>44676</v>
      </c>
      <c r="C819" s="1" t="n">
        <v>46196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17597-2023</t>
        </is>
      </c>
      <c r="B820" s="1" t="n">
        <v>45036</v>
      </c>
      <c r="C820" s="1" t="n">
        <v>46196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1239-2024</t>
        </is>
      </c>
      <c r="B821" s="1" t="n">
        <v>45302</v>
      </c>
      <c r="C821" s="1" t="n">
        <v>46196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58165-2024</t>
        </is>
      </c>
      <c r="B822" s="1" t="n">
        <v>45632</v>
      </c>
      <c r="C822" s="1" t="n">
        <v>46196</v>
      </c>
      <c r="D822" t="inlineStr">
        <is>
          <t>KRONOBERGS LÄN</t>
        </is>
      </c>
      <c r="E822" t="inlineStr">
        <is>
          <t>VÄXJÖ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44141-2023</t>
        </is>
      </c>
      <c r="B823" s="1" t="n">
        <v>45188</v>
      </c>
      <c r="C823" s="1" t="n">
        <v>46196</v>
      </c>
      <c r="D823" t="inlineStr">
        <is>
          <t>KRONOBERGS LÄN</t>
        </is>
      </c>
      <c r="E823" t="inlineStr">
        <is>
          <t>VÄXJÖ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39689-2024</t>
        </is>
      </c>
      <c r="B824" s="1" t="n">
        <v>45552</v>
      </c>
      <c r="C824" s="1" t="n">
        <v>46196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42762-2023</t>
        </is>
      </c>
      <c r="B825" s="1" t="n">
        <v>45181</v>
      </c>
      <c r="C825" s="1" t="n">
        <v>46196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22668-2023</t>
        </is>
      </c>
      <c r="B826" s="1" t="n">
        <v>45071</v>
      </c>
      <c r="C826" s="1" t="n">
        <v>46196</v>
      </c>
      <c r="D826" t="inlineStr">
        <is>
          <t>KRONOBERGS LÄN</t>
        </is>
      </c>
      <c r="E826" t="inlineStr">
        <is>
          <t>VÄXJÖ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40972-2024</t>
        </is>
      </c>
      <c r="B827" s="1" t="n">
        <v>45558</v>
      </c>
      <c r="C827" s="1" t="n">
        <v>46196</v>
      </c>
      <c r="D827" t="inlineStr">
        <is>
          <t>KRONOBERGS LÄN</t>
        </is>
      </c>
      <c r="E827" t="inlineStr">
        <is>
          <t>VÄXJÖ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49008-2024</t>
        </is>
      </c>
      <c r="B828" s="1" t="n">
        <v>45594</v>
      </c>
      <c r="C828" s="1" t="n">
        <v>46196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49020-2024</t>
        </is>
      </c>
      <c r="B829" s="1" t="n">
        <v>45594</v>
      </c>
      <c r="C829" s="1" t="n">
        <v>46196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49024-2024</t>
        </is>
      </c>
      <c r="B830" s="1" t="n">
        <v>45594</v>
      </c>
      <c r="C830" s="1" t="n">
        <v>46196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5486-2025</t>
        </is>
      </c>
      <c r="B831" s="1" t="n">
        <v>45693</v>
      </c>
      <c r="C831" s="1" t="n">
        <v>46196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18996-2025</t>
        </is>
      </c>
      <c r="B832" s="1" t="n">
        <v>45764</v>
      </c>
      <c r="C832" s="1" t="n">
        <v>46196</v>
      </c>
      <c r="D832" t="inlineStr">
        <is>
          <t>KRONOBERGS LÄN</t>
        </is>
      </c>
      <c r="E832" t="inlineStr">
        <is>
          <t>VÄXJÖ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60733-2024</t>
        </is>
      </c>
      <c r="B833" s="1" t="n">
        <v>45644</v>
      </c>
      <c r="C833" s="1" t="n">
        <v>46196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20335-2023</t>
        </is>
      </c>
      <c r="B834" s="1" t="n">
        <v>45056</v>
      </c>
      <c r="C834" s="1" t="n">
        <v>46196</v>
      </c>
      <c r="D834" t="inlineStr">
        <is>
          <t>KRONOBERGS LÄN</t>
        </is>
      </c>
      <c r="E834" t="inlineStr">
        <is>
          <t>VÄXJÖ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17775-2023</t>
        </is>
      </c>
      <c r="B835" s="1" t="n">
        <v>45037</v>
      </c>
      <c r="C835" s="1" t="n">
        <v>46196</v>
      </c>
      <c r="D835" t="inlineStr">
        <is>
          <t>KRONOBERGS LÄN</t>
        </is>
      </c>
      <c r="E835" t="inlineStr">
        <is>
          <t>VÄXJÖ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17778-2023</t>
        </is>
      </c>
      <c r="B836" s="1" t="n">
        <v>45037</v>
      </c>
      <c r="C836" s="1" t="n">
        <v>46196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46214-2024</t>
        </is>
      </c>
      <c r="B837" s="1" t="n">
        <v>45581</v>
      </c>
      <c r="C837" s="1" t="n">
        <v>46196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8038-2022</t>
        </is>
      </c>
      <c r="B838" s="1" t="n">
        <v>44609</v>
      </c>
      <c r="C838" s="1" t="n">
        <v>46196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14380-2022</t>
        </is>
      </c>
      <c r="B839" s="1" t="n">
        <v>44652</v>
      </c>
      <c r="C839" s="1" t="n">
        <v>46196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4423-2023</t>
        </is>
      </c>
      <c r="B840" s="1" t="n">
        <v>44956</v>
      </c>
      <c r="C840" s="1" t="n">
        <v>46196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783-2024</t>
        </is>
      </c>
      <c r="B841" s="1" t="n">
        <v>45300</v>
      </c>
      <c r="C841" s="1" t="n">
        <v>46196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49619-2023</t>
        </is>
      </c>
      <c r="B842" s="1" t="n">
        <v>45211</v>
      </c>
      <c r="C842" s="1" t="n">
        <v>46196</v>
      </c>
      <c r="D842" t="inlineStr">
        <is>
          <t>KRONOBERGS LÄN</t>
        </is>
      </c>
      <c r="E842" t="inlineStr">
        <is>
          <t>VÄXJÖ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49263-2023</t>
        </is>
      </c>
      <c r="B843" s="1" t="n">
        <v>45210</v>
      </c>
      <c r="C843" s="1" t="n">
        <v>46196</v>
      </c>
      <c r="D843" t="inlineStr">
        <is>
          <t>KRONOBERGS LÄN</t>
        </is>
      </c>
      <c r="E843" t="inlineStr">
        <is>
          <t>VÄXJÖ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35896-2024</t>
        </is>
      </c>
      <c r="B844" s="1" t="n">
        <v>45533</v>
      </c>
      <c r="C844" s="1" t="n">
        <v>46196</v>
      </c>
      <c r="D844" t="inlineStr">
        <is>
          <t>KRONOBERGS LÄN</t>
        </is>
      </c>
      <c r="E844" t="inlineStr">
        <is>
          <t>VÄXJÖ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11079-2023</t>
        </is>
      </c>
      <c r="B845" s="1" t="n">
        <v>44986</v>
      </c>
      <c r="C845" s="1" t="n">
        <v>46196</v>
      </c>
      <c r="D845" t="inlineStr">
        <is>
          <t>KRONOBERGS LÄN</t>
        </is>
      </c>
      <c r="E845" t="inlineStr">
        <is>
          <t>VÄXJÖ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46196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6384-2024</t>
        </is>
      </c>
      <c r="B847" s="1" t="n">
        <v>45338</v>
      </c>
      <c r="C847" s="1" t="n">
        <v>46196</v>
      </c>
      <c r="D847" t="inlineStr">
        <is>
          <t>KRONOBERGS LÄN</t>
        </is>
      </c>
      <c r="E847" t="inlineStr">
        <is>
          <t>VÄXJÖ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5629-2023</t>
        </is>
      </c>
      <c r="B848" s="1" t="n">
        <v>44960</v>
      </c>
      <c r="C848" s="1" t="n">
        <v>46196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45100-2022</t>
        </is>
      </c>
      <c r="B849" s="1" t="n">
        <v>44843</v>
      </c>
      <c r="C849" s="1" t="n">
        <v>46196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890-2025</t>
        </is>
      </c>
      <c r="B850" s="1" t="n">
        <v>45665</v>
      </c>
      <c r="C850" s="1" t="n">
        <v>46196</v>
      </c>
      <c r="D850" t="inlineStr">
        <is>
          <t>KRONOBERGS LÄN</t>
        </is>
      </c>
      <c r="E850" t="inlineStr">
        <is>
          <t>VÄXJÖ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52519-2022</t>
        </is>
      </c>
      <c r="B851" s="1" t="n">
        <v>44874</v>
      </c>
      <c r="C851" s="1" t="n">
        <v>46196</v>
      </c>
      <c r="D851" t="inlineStr">
        <is>
          <t>KRONOBERGS LÄN</t>
        </is>
      </c>
      <c r="E851" t="inlineStr">
        <is>
          <t>VÄXJÖ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52545-2022</t>
        </is>
      </c>
      <c r="B852" s="1" t="n">
        <v>44874</v>
      </c>
      <c r="C852" s="1" t="n">
        <v>46196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5762-2023</t>
        </is>
      </c>
      <c r="B853" s="1" t="n">
        <v>44963</v>
      </c>
      <c r="C853" s="1" t="n">
        <v>46196</v>
      </c>
      <c r="D853" t="inlineStr">
        <is>
          <t>KRONOBERGS LÄN</t>
        </is>
      </c>
      <c r="E853" t="inlineStr">
        <is>
          <t>VÄXJÖ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6183-2022</t>
        </is>
      </c>
      <c r="B854" s="1" t="n">
        <v>44600</v>
      </c>
      <c r="C854" s="1" t="n">
        <v>46196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17055-2024</t>
        </is>
      </c>
      <c r="B855" s="1" t="n">
        <v>45412</v>
      </c>
      <c r="C855" s="1" t="n">
        <v>46196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17060-2024</t>
        </is>
      </c>
      <c r="B856" s="1" t="n">
        <v>45412</v>
      </c>
      <c r="C856" s="1" t="n">
        <v>46196</v>
      </c>
      <c r="D856" t="inlineStr">
        <is>
          <t>KRONOBERGS LÄN</t>
        </is>
      </c>
      <c r="E856" t="inlineStr">
        <is>
          <t>VÄXJÖ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17470-2025</t>
        </is>
      </c>
      <c r="B857" s="1" t="n">
        <v>45757</v>
      </c>
      <c r="C857" s="1" t="n">
        <v>46196</v>
      </c>
      <c r="D857" t="inlineStr">
        <is>
          <t>KRONOBERGS LÄN</t>
        </is>
      </c>
      <c r="E857" t="inlineStr">
        <is>
          <t>VÄXJÖ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3058-2024</t>
        </is>
      </c>
      <c r="B858" s="1" t="n">
        <v>45316</v>
      </c>
      <c r="C858" s="1" t="n">
        <v>46196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3067-2024</t>
        </is>
      </c>
      <c r="B859" s="1" t="n">
        <v>45316</v>
      </c>
      <c r="C859" s="1" t="n">
        <v>46196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39478-2024</t>
        </is>
      </c>
      <c r="B860" s="1" t="n">
        <v>45551</v>
      </c>
      <c r="C860" s="1" t="n">
        <v>46196</v>
      </c>
      <c r="D860" t="inlineStr">
        <is>
          <t>KRONOBERGS LÄN</t>
        </is>
      </c>
      <c r="E860" t="inlineStr">
        <is>
          <t>VÄXJÖ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57374-2022</t>
        </is>
      </c>
      <c r="B861" s="1" t="n">
        <v>44896</v>
      </c>
      <c r="C861" s="1" t="n">
        <v>46196</v>
      </c>
      <c r="D861" t="inlineStr">
        <is>
          <t>KRONOBERGS LÄN</t>
        </is>
      </c>
      <c r="E861" t="inlineStr">
        <is>
          <t>VÄXJÖ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50465-2024</t>
        </is>
      </c>
      <c r="B862" s="1" t="n">
        <v>45601</v>
      </c>
      <c r="C862" s="1" t="n">
        <v>46196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3357-2025</t>
        </is>
      </c>
      <c r="B863" s="1" t="n">
        <v>45679</v>
      </c>
      <c r="C863" s="1" t="n">
        <v>46196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3070-2024</t>
        </is>
      </c>
      <c r="B864" s="1" t="n">
        <v>45316</v>
      </c>
      <c r="C864" s="1" t="n">
        <v>46196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34549-2023</t>
        </is>
      </c>
      <c r="B865" s="1" t="n">
        <v>45140</v>
      </c>
      <c r="C865" s="1" t="n">
        <v>46196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22436-2024</t>
        </is>
      </c>
      <c r="B866" s="1" t="n">
        <v>45446</v>
      </c>
      <c r="C866" s="1" t="n">
        <v>46196</v>
      </c>
      <c r="D866" t="inlineStr">
        <is>
          <t>KRONOBERGS LÄN</t>
        </is>
      </c>
      <c r="E866" t="inlineStr">
        <is>
          <t>VÄXJÖ</t>
        </is>
      </c>
      <c r="F866" t="inlineStr">
        <is>
          <t>Övriga Aktiebolag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13973-2024</t>
        </is>
      </c>
      <c r="B867" s="1" t="n">
        <v>45392</v>
      </c>
      <c r="C867" s="1" t="n">
        <v>46196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39260-2023</t>
        </is>
      </c>
      <c r="B868" s="1" t="n">
        <v>45166</v>
      </c>
      <c r="C868" s="1" t="n">
        <v>46196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7304-2024</t>
        </is>
      </c>
      <c r="B869" s="1" t="n">
        <v>45345</v>
      </c>
      <c r="C869" s="1" t="n">
        <v>46196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61359-2022</t>
        </is>
      </c>
      <c r="B870" s="1" t="n">
        <v>44915</v>
      </c>
      <c r="C870" s="1" t="n">
        <v>46196</v>
      </c>
      <c r="D870" t="inlineStr">
        <is>
          <t>KRONOBERGS LÄN</t>
        </is>
      </c>
      <c r="E870" t="inlineStr">
        <is>
          <t>VÄXJÖ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7677-2023</t>
        </is>
      </c>
      <c r="B871" s="1" t="n">
        <v>44972</v>
      </c>
      <c r="C871" s="1" t="n">
        <v>46196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25664-2024</t>
        </is>
      </c>
      <c r="B872" s="1" t="n">
        <v>45463</v>
      </c>
      <c r="C872" s="1" t="n">
        <v>46196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12211-2023</t>
        </is>
      </c>
      <c r="B873" s="1" t="n">
        <v>44998</v>
      </c>
      <c r="C873" s="1" t="n">
        <v>46196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26121-2024</t>
        </is>
      </c>
      <c r="B874" s="1" t="n">
        <v>45468</v>
      </c>
      <c r="C874" s="1" t="n">
        <v>46196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53687-2022</t>
        </is>
      </c>
      <c r="B875" s="1" t="n">
        <v>44880</v>
      </c>
      <c r="C875" s="1" t="n">
        <v>46196</v>
      </c>
      <c r="D875" t="inlineStr">
        <is>
          <t>KRONOBERGS LÄN</t>
        </is>
      </c>
      <c r="E875" t="inlineStr">
        <is>
          <t>VÄXJÖ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2657-2025</t>
        </is>
      </c>
      <c r="B876" s="1" t="n">
        <v>45676</v>
      </c>
      <c r="C876" s="1" t="n">
        <v>46196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33187-2023</t>
        </is>
      </c>
      <c r="B877" s="1" t="n">
        <v>45127</v>
      </c>
      <c r="C877" s="1" t="n">
        <v>46196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65087-2023</t>
        </is>
      </c>
      <c r="B878" s="1" t="n">
        <v>45288</v>
      </c>
      <c r="C878" s="1" t="n">
        <v>46196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15935-2023</t>
        </is>
      </c>
      <c r="B879" s="1" t="n">
        <v>45022</v>
      </c>
      <c r="C879" s="1" t="n">
        <v>46196</v>
      </c>
      <c r="D879" t="inlineStr">
        <is>
          <t>KRONOBERGS LÄN</t>
        </is>
      </c>
      <c r="E879" t="inlineStr">
        <is>
          <t>VÄXJÖ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51472-2022</t>
        </is>
      </c>
      <c r="B880" s="1" t="n">
        <v>44869</v>
      </c>
      <c r="C880" s="1" t="n">
        <v>46196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12115-2023</t>
        </is>
      </c>
      <c r="B881" s="1" t="n">
        <v>44998</v>
      </c>
      <c r="C881" s="1" t="n">
        <v>46196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50643-2023</t>
        </is>
      </c>
      <c r="B882" s="1" t="n">
        <v>45217</v>
      </c>
      <c r="C882" s="1" t="n">
        <v>46196</v>
      </c>
      <c r="D882" t="inlineStr">
        <is>
          <t>KRONOBERGS LÄN</t>
        </is>
      </c>
      <c r="E882" t="inlineStr">
        <is>
          <t>VÄXJÖ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24905-2023</t>
        </is>
      </c>
      <c r="B883" s="1" t="n">
        <v>45085</v>
      </c>
      <c r="C883" s="1" t="n">
        <v>46196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8037-2022</t>
        </is>
      </c>
      <c r="B884" s="1" t="n">
        <v>44609</v>
      </c>
      <c r="C884" s="1" t="n">
        <v>46196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50230-2021</t>
        </is>
      </c>
      <c r="B885" s="1" t="n">
        <v>44457</v>
      </c>
      <c r="C885" s="1" t="n">
        <v>46196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10929-2025</t>
        </is>
      </c>
      <c r="B886" s="1" t="n">
        <v>45722</v>
      </c>
      <c r="C886" s="1" t="n">
        <v>46196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41482-2024</t>
        </is>
      </c>
      <c r="B887" s="1" t="n">
        <v>45560</v>
      </c>
      <c r="C887" s="1" t="n">
        <v>46196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46196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53188-2024</t>
        </is>
      </c>
      <c r="B889" s="1" t="n">
        <v>45611</v>
      </c>
      <c r="C889" s="1" t="n">
        <v>46196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3238-2025</t>
        </is>
      </c>
      <c r="B890" s="1" t="n">
        <v>45679</v>
      </c>
      <c r="C890" s="1" t="n">
        <v>46196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3278-2025</t>
        </is>
      </c>
      <c r="B891" s="1" t="n">
        <v>45679</v>
      </c>
      <c r="C891" s="1" t="n">
        <v>46196</v>
      </c>
      <c r="D891" t="inlineStr">
        <is>
          <t>KRONOBERGS LÄN</t>
        </is>
      </c>
      <c r="E891" t="inlineStr">
        <is>
          <t>VÄXJÖ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16584-2023</t>
        </is>
      </c>
      <c r="B892" s="1" t="n">
        <v>45030</v>
      </c>
      <c r="C892" s="1" t="n">
        <v>46196</v>
      </c>
      <c r="D892" t="inlineStr">
        <is>
          <t>KRONOBERGS LÄN</t>
        </is>
      </c>
      <c r="E892" t="inlineStr">
        <is>
          <t>VÄXJÖ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780-2024</t>
        </is>
      </c>
      <c r="B893" s="1" t="n">
        <v>45300</v>
      </c>
      <c r="C893" s="1" t="n">
        <v>46196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31343-2022</t>
        </is>
      </c>
      <c r="B894" s="1" t="n">
        <v>44774</v>
      </c>
      <c r="C894" s="1" t="n">
        <v>46196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33397-2023</t>
        </is>
      </c>
      <c r="B895" s="1" t="n">
        <v>45128</v>
      </c>
      <c r="C895" s="1" t="n">
        <v>46196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33398-2023</t>
        </is>
      </c>
      <c r="B896" s="1" t="n">
        <v>45128</v>
      </c>
      <c r="C896" s="1" t="n">
        <v>46196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30438-2023</t>
        </is>
      </c>
      <c r="B897" s="1" t="n">
        <v>45111</v>
      </c>
      <c r="C897" s="1" t="n">
        <v>46196</v>
      </c>
      <c r="D897" t="inlineStr">
        <is>
          <t>KRONOBERGS LÄN</t>
        </is>
      </c>
      <c r="E897" t="inlineStr">
        <is>
          <t>VÄXJÖ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59368-2024</t>
        </is>
      </c>
      <c r="B898" s="1" t="n">
        <v>45638</v>
      </c>
      <c r="C898" s="1" t="n">
        <v>46196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13326-2024</t>
        </is>
      </c>
      <c r="B899" s="1" t="n">
        <v>45386</v>
      </c>
      <c r="C899" s="1" t="n">
        <v>46196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39122-2023</t>
        </is>
      </c>
      <c r="B900" s="1" t="n">
        <v>45165</v>
      </c>
      <c r="C900" s="1" t="n">
        <v>46196</v>
      </c>
      <c r="D900" t="inlineStr">
        <is>
          <t>KRONOBERGS LÄN</t>
        </is>
      </c>
      <c r="E900" t="inlineStr">
        <is>
          <t>VÄXJÖ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40525-2024</t>
        </is>
      </c>
      <c r="B901" s="1" t="n">
        <v>45555</v>
      </c>
      <c r="C901" s="1" t="n">
        <v>46196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34719-2023</t>
        </is>
      </c>
      <c r="B902" s="1" t="n">
        <v>45141</v>
      </c>
      <c r="C902" s="1" t="n">
        <v>46196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34744-2023</t>
        </is>
      </c>
      <c r="B903" s="1" t="n">
        <v>45141</v>
      </c>
      <c r="C903" s="1" t="n">
        <v>46196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60350-2021</t>
        </is>
      </c>
      <c r="B904" s="1" t="n">
        <v>44496</v>
      </c>
      <c r="C904" s="1" t="n">
        <v>46196</v>
      </c>
      <c r="D904" t="inlineStr">
        <is>
          <t>KRONOBERGS LÄN</t>
        </is>
      </c>
      <c r="E904" t="inlineStr">
        <is>
          <t>VÄXJÖ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45624-2024</t>
        </is>
      </c>
      <c r="B905" s="1" t="n">
        <v>45579</v>
      </c>
      <c r="C905" s="1" t="n">
        <v>46196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16781-2025</t>
        </is>
      </c>
      <c r="B906" s="1" t="n">
        <v>45754</v>
      </c>
      <c r="C906" s="1" t="n">
        <v>46196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16751-2025</t>
        </is>
      </c>
      <c r="B907" s="1" t="n">
        <v>45754</v>
      </c>
      <c r="C907" s="1" t="n">
        <v>46196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14365-2023</t>
        </is>
      </c>
      <c r="B908" s="1" t="n">
        <v>45012</v>
      </c>
      <c r="C908" s="1" t="n">
        <v>46196</v>
      </c>
      <c r="D908" t="inlineStr">
        <is>
          <t>KRONOBERGS LÄN</t>
        </is>
      </c>
      <c r="E908" t="inlineStr">
        <is>
          <t>VÄXJÖ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52996-2023</t>
        </is>
      </c>
      <c r="B909" s="1" t="n">
        <v>45222</v>
      </c>
      <c r="C909" s="1" t="n">
        <v>46196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33223-2023</t>
        </is>
      </c>
      <c r="B910" s="1" t="n">
        <v>45127</v>
      </c>
      <c r="C910" s="1" t="n">
        <v>46196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46196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39761-2024</t>
        </is>
      </c>
      <c r="B912" s="1" t="n">
        <v>45552</v>
      </c>
      <c r="C912" s="1" t="n">
        <v>46196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58054-2023</t>
        </is>
      </c>
      <c r="B913" s="1" t="n">
        <v>45247</v>
      </c>
      <c r="C913" s="1" t="n">
        <v>46196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32162-2024</t>
        </is>
      </c>
      <c r="B914" s="1" t="n">
        <v>45511</v>
      </c>
      <c r="C914" s="1" t="n">
        <v>46196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62245-2022</t>
        </is>
      </c>
      <c r="B915" s="1" t="n">
        <v>44922</v>
      </c>
      <c r="C915" s="1" t="n">
        <v>46196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19187-2023</t>
        </is>
      </c>
      <c r="B916" s="1" t="n">
        <v>45048</v>
      </c>
      <c r="C916" s="1" t="n">
        <v>46196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48228-2023</t>
        </is>
      </c>
      <c r="B917" s="1" t="n">
        <v>45205</v>
      </c>
      <c r="C917" s="1" t="n">
        <v>46196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61585-2021</t>
        </is>
      </c>
      <c r="B918" s="1" t="n">
        <v>44501</v>
      </c>
      <c r="C918" s="1" t="n">
        <v>46196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12015-2023</t>
        </is>
      </c>
      <c r="B919" s="1" t="n">
        <v>44995</v>
      </c>
      <c r="C919" s="1" t="n">
        <v>46196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53252-2022</t>
        </is>
      </c>
      <c r="B920" s="1" t="n">
        <v>44876</v>
      </c>
      <c r="C920" s="1" t="n">
        <v>46196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30676-2024</t>
        </is>
      </c>
      <c r="B921" s="1" t="n">
        <v>45495</v>
      </c>
      <c r="C921" s="1" t="n">
        <v>46196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5943-2023</t>
        </is>
      </c>
      <c r="B922" s="1" t="n">
        <v>44963</v>
      </c>
      <c r="C922" s="1" t="n">
        <v>46196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29477-2023</t>
        </is>
      </c>
      <c r="B923" s="1" t="n">
        <v>45106</v>
      </c>
      <c r="C923" s="1" t="n">
        <v>46196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13026-2024</t>
        </is>
      </c>
      <c r="B924" s="1" t="n">
        <v>45385</v>
      </c>
      <c r="C924" s="1" t="n">
        <v>46196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13028-2024</t>
        </is>
      </c>
      <c r="B925" s="1" t="n">
        <v>45385</v>
      </c>
      <c r="C925" s="1" t="n">
        <v>46196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58020-2022</t>
        </is>
      </c>
      <c r="B926" s="1" t="n">
        <v>44900</v>
      </c>
      <c r="C926" s="1" t="n">
        <v>46196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54673-2021</t>
        </is>
      </c>
      <c r="B927" s="1" t="n">
        <v>44473</v>
      </c>
      <c r="C927" s="1" t="n">
        <v>46196</v>
      </c>
      <c r="D927" t="inlineStr">
        <is>
          <t>KRONOBERGS LÄN</t>
        </is>
      </c>
      <c r="E927" t="inlineStr">
        <is>
          <t>VÄXJÖ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46830-2023</t>
        </is>
      </c>
      <c r="B928" s="1" t="n">
        <v>45199</v>
      </c>
      <c r="C928" s="1" t="n">
        <v>46196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22242-2023</t>
        </is>
      </c>
      <c r="B929" s="1" t="n">
        <v>45070</v>
      </c>
      <c r="C929" s="1" t="n">
        <v>46196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59873-2021</t>
        </is>
      </c>
      <c r="B930" s="1" t="n">
        <v>44494</v>
      </c>
      <c r="C930" s="1" t="n">
        <v>46196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16767-2025</t>
        </is>
      </c>
      <c r="B931" s="1" t="n">
        <v>45754</v>
      </c>
      <c r="C931" s="1" t="n">
        <v>46196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52167-2023</t>
        </is>
      </c>
      <c r="B932" s="1" t="n">
        <v>45224</v>
      </c>
      <c r="C932" s="1" t="n">
        <v>46196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38880-2023</t>
        </is>
      </c>
      <c r="B933" s="1" t="n">
        <v>45161</v>
      </c>
      <c r="C933" s="1" t="n">
        <v>46196</v>
      </c>
      <c r="D933" t="inlineStr">
        <is>
          <t>KRONOBERGS LÄN</t>
        </is>
      </c>
      <c r="E933" t="inlineStr">
        <is>
          <t>VÄXJÖ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21872-2022</t>
        </is>
      </c>
      <c r="B934" s="1" t="n">
        <v>44711</v>
      </c>
      <c r="C934" s="1" t="n">
        <v>46196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32466-2022</t>
        </is>
      </c>
      <c r="B935" s="1" t="n">
        <v>44782</v>
      </c>
      <c r="C935" s="1" t="n">
        <v>46196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44175-2024</t>
        </is>
      </c>
      <c r="B936" s="1" t="n">
        <v>45572</v>
      </c>
      <c r="C936" s="1" t="n">
        <v>46196</v>
      </c>
      <c r="D936" t="inlineStr">
        <is>
          <t>KRONOBERGS LÄN</t>
        </is>
      </c>
      <c r="E936" t="inlineStr">
        <is>
          <t>VÄXJÖ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48860-2023</t>
        </is>
      </c>
      <c r="B937" s="1" t="n">
        <v>45204</v>
      </c>
      <c r="C937" s="1" t="n">
        <v>46196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21990-2024</t>
        </is>
      </c>
      <c r="B938" s="1" t="n">
        <v>45443</v>
      </c>
      <c r="C938" s="1" t="n">
        <v>46196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11228-2025</t>
        </is>
      </c>
      <c r="B939" s="1" t="n">
        <v>45726</v>
      </c>
      <c r="C939" s="1" t="n">
        <v>46196</v>
      </c>
      <c r="D939" t="inlineStr">
        <is>
          <t>KRONOBERGS LÄN</t>
        </is>
      </c>
      <c r="E939" t="inlineStr">
        <is>
          <t>VÄXJÖ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34464-2023</t>
        </is>
      </c>
      <c r="B940" s="1" t="n">
        <v>45139</v>
      </c>
      <c r="C940" s="1" t="n">
        <v>46196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11643-2024</t>
        </is>
      </c>
      <c r="B941" s="1" t="n">
        <v>45373</v>
      </c>
      <c r="C941" s="1" t="n">
        <v>46196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48472-2021</t>
        </is>
      </c>
      <c r="B942" s="1" t="n">
        <v>44452</v>
      </c>
      <c r="C942" s="1" t="n">
        <v>46196</v>
      </c>
      <c r="D942" t="inlineStr">
        <is>
          <t>KRONOBERGS LÄN</t>
        </is>
      </c>
      <c r="E942" t="inlineStr">
        <is>
          <t>VÄXJÖ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10795-2024</t>
        </is>
      </c>
      <c r="B943" s="1" t="n">
        <v>45369</v>
      </c>
      <c r="C943" s="1" t="n">
        <v>46196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33279-2023</t>
        </is>
      </c>
      <c r="B944" s="1" t="n">
        <v>45127</v>
      </c>
      <c r="C944" s="1" t="n">
        <v>46196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33283-2023</t>
        </is>
      </c>
      <c r="B945" s="1" t="n">
        <v>45127</v>
      </c>
      <c r="C945" s="1" t="n">
        <v>46196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11438-2024</t>
        </is>
      </c>
      <c r="B946" s="1" t="n">
        <v>45372</v>
      </c>
      <c r="C946" s="1" t="n">
        <v>46196</v>
      </c>
      <c r="D946" t="inlineStr">
        <is>
          <t>KRONOBERGS LÄN</t>
        </is>
      </c>
      <c r="E946" t="inlineStr">
        <is>
          <t>VÄXJÖ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51394-2023</t>
        </is>
      </c>
      <c r="B947" s="1" t="n">
        <v>45219</v>
      </c>
      <c r="C947" s="1" t="n">
        <v>46196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49017-2024</t>
        </is>
      </c>
      <c r="B948" s="1" t="n">
        <v>45594</v>
      </c>
      <c r="C948" s="1" t="n">
        <v>46196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49021-2024</t>
        </is>
      </c>
      <c r="B949" s="1" t="n">
        <v>45594</v>
      </c>
      <c r="C949" s="1" t="n">
        <v>46196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18823-2022</t>
        </is>
      </c>
      <c r="B950" s="1" t="n">
        <v>44690</v>
      </c>
      <c r="C950" s="1" t="n">
        <v>46196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13015-2024</t>
        </is>
      </c>
      <c r="B951" s="1" t="n">
        <v>45385</v>
      </c>
      <c r="C951" s="1" t="n">
        <v>46196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7299-2025</t>
        </is>
      </c>
      <c r="B952" s="1" t="n">
        <v>45702</v>
      </c>
      <c r="C952" s="1" t="n">
        <v>46196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12704-2023</t>
        </is>
      </c>
      <c r="B953" s="1" t="n">
        <v>45000</v>
      </c>
      <c r="C953" s="1" t="n">
        <v>46196</v>
      </c>
      <c r="D953" t="inlineStr">
        <is>
          <t>KRONOBERGS LÄN</t>
        </is>
      </c>
      <c r="E953" t="inlineStr">
        <is>
          <t>VÄXJÖ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22221-2024</t>
        </is>
      </c>
      <c r="B954" s="1" t="n">
        <v>45446</v>
      </c>
      <c r="C954" s="1" t="n">
        <v>46196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48268-2022</t>
        </is>
      </c>
      <c r="B955" s="1" t="n">
        <v>44858</v>
      </c>
      <c r="C955" s="1" t="n">
        <v>46196</v>
      </c>
      <c r="D955" t="inlineStr">
        <is>
          <t>KRONOBERGS LÄN</t>
        </is>
      </c>
      <c r="E955" t="inlineStr">
        <is>
          <t>VÄXJÖ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48996-2024</t>
        </is>
      </c>
      <c r="B956" s="1" t="n">
        <v>45594</v>
      </c>
      <c r="C956" s="1" t="n">
        <v>46196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49002-2024</t>
        </is>
      </c>
      <c r="B957" s="1" t="n">
        <v>45594</v>
      </c>
      <c r="C957" s="1" t="n">
        <v>46196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49004-2024</t>
        </is>
      </c>
      <c r="B958" s="1" t="n">
        <v>45594</v>
      </c>
      <c r="C958" s="1" t="n">
        <v>46196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49007-2024</t>
        </is>
      </c>
      <c r="B959" s="1" t="n">
        <v>45594</v>
      </c>
      <c r="C959" s="1" t="n">
        <v>46196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49022-2024</t>
        </is>
      </c>
      <c r="B960" s="1" t="n">
        <v>45594</v>
      </c>
      <c r="C960" s="1" t="n">
        <v>46196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49025-2024</t>
        </is>
      </c>
      <c r="B961" s="1" t="n">
        <v>45594</v>
      </c>
      <c r="C961" s="1" t="n">
        <v>46196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1251-2024</t>
        </is>
      </c>
      <c r="B962" s="1" t="n">
        <v>45302</v>
      </c>
      <c r="C962" s="1" t="n">
        <v>46196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1252-2024</t>
        </is>
      </c>
      <c r="B963" s="1" t="n">
        <v>45302</v>
      </c>
      <c r="C963" s="1" t="n">
        <v>46196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5276-2023</t>
        </is>
      </c>
      <c r="B964" s="1" t="n">
        <v>44959</v>
      </c>
      <c r="C964" s="1" t="n">
        <v>46196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56863-2022</t>
        </is>
      </c>
      <c r="B965" s="1" t="n">
        <v>44894</v>
      </c>
      <c r="C965" s="1" t="n">
        <v>46196</v>
      </c>
      <c r="D965" t="inlineStr">
        <is>
          <t>KRONOBERGS LÄN</t>
        </is>
      </c>
      <c r="E965" t="inlineStr">
        <is>
          <t>VÄXJÖ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62244-2023</t>
        </is>
      </c>
      <c r="B966" s="1" t="n">
        <v>45267</v>
      </c>
      <c r="C966" s="1" t="n">
        <v>46196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47868-2023</t>
        </is>
      </c>
      <c r="B967" s="1" t="n">
        <v>45198</v>
      </c>
      <c r="C967" s="1" t="n">
        <v>46196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14172-2022</t>
        </is>
      </c>
      <c r="B968" s="1" t="n">
        <v>44651</v>
      </c>
      <c r="C968" s="1" t="n">
        <v>46196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31753-2024</t>
        </is>
      </c>
      <c r="B969" s="1" t="n">
        <v>45509</v>
      </c>
      <c r="C969" s="1" t="n">
        <v>46196</v>
      </c>
      <c r="D969" t="inlineStr">
        <is>
          <t>KRONOBERGS LÄN</t>
        </is>
      </c>
      <c r="E969" t="inlineStr">
        <is>
          <t>VÄXJÖ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22500-2024</t>
        </is>
      </c>
      <c r="B970" s="1" t="n">
        <v>45447</v>
      </c>
      <c r="C970" s="1" t="n">
        <v>46196</v>
      </c>
      <c r="D970" t="inlineStr">
        <is>
          <t>KRONOBERGS LÄN</t>
        </is>
      </c>
      <c r="E970" t="inlineStr">
        <is>
          <t>VÄXJÖ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12445-2024</t>
        </is>
      </c>
      <c r="B971" s="1" t="n">
        <v>45378</v>
      </c>
      <c r="C971" s="1" t="n">
        <v>46196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30665-2024</t>
        </is>
      </c>
      <c r="B972" s="1" t="n">
        <v>45495</v>
      </c>
      <c r="C972" s="1" t="n">
        <v>46196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22213-2024</t>
        </is>
      </c>
      <c r="B973" s="1" t="n">
        <v>45446</v>
      </c>
      <c r="C973" s="1" t="n">
        <v>46196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13993-2023</t>
        </is>
      </c>
      <c r="B974" s="1" t="n">
        <v>45008</v>
      </c>
      <c r="C974" s="1" t="n">
        <v>46196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26645-2022</t>
        </is>
      </c>
      <c r="B975" s="1" t="n">
        <v>44739</v>
      </c>
      <c r="C975" s="1" t="n">
        <v>46196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33340-2024</t>
        </is>
      </c>
      <c r="B976" s="1" t="n">
        <v>45519</v>
      </c>
      <c r="C976" s="1" t="n">
        <v>46196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41823-2023</t>
        </is>
      </c>
      <c r="B977" s="1" t="n">
        <v>45176</v>
      </c>
      <c r="C977" s="1" t="n">
        <v>46196</v>
      </c>
      <c r="D977" t="inlineStr">
        <is>
          <t>KRONOBERGS LÄN</t>
        </is>
      </c>
      <c r="E977" t="inlineStr">
        <is>
          <t>VÄXJÖ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41826-2023</t>
        </is>
      </c>
      <c r="B978" s="1" t="n">
        <v>45176</v>
      </c>
      <c r="C978" s="1" t="n">
        <v>46196</v>
      </c>
      <c r="D978" t="inlineStr">
        <is>
          <t>KRONOBERGS LÄN</t>
        </is>
      </c>
      <c r="E978" t="inlineStr">
        <is>
          <t>VÄXJÖ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60815-2024</t>
        </is>
      </c>
      <c r="B979" s="1" t="n">
        <v>45644</v>
      </c>
      <c r="C979" s="1" t="n">
        <v>46196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38390-2022</t>
        </is>
      </c>
      <c r="B980" s="1" t="n">
        <v>44812</v>
      </c>
      <c r="C980" s="1" t="n">
        <v>46196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11271-2023</t>
        </is>
      </c>
      <c r="B981" s="1" t="n">
        <v>44992</v>
      </c>
      <c r="C981" s="1" t="n">
        <v>46196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34456-2023</t>
        </is>
      </c>
      <c r="B982" s="1" t="n">
        <v>45139</v>
      </c>
      <c r="C982" s="1" t="n">
        <v>46196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57041-2023</t>
        </is>
      </c>
      <c r="B983" s="1" t="n">
        <v>45244</v>
      </c>
      <c r="C983" s="1" t="n">
        <v>46196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35179-2021</t>
        </is>
      </c>
      <c r="B984" s="1" t="n">
        <v>44384</v>
      </c>
      <c r="C984" s="1" t="n">
        <v>46196</v>
      </c>
      <c r="D984" t="inlineStr">
        <is>
          <t>KRONOBERGS LÄN</t>
        </is>
      </c>
      <c r="E984" t="inlineStr">
        <is>
          <t>VÄXJÖ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54256-2023</t>
        </is>
      </c>
      <c r="B985" s="1" t="n">
        <v>45232</v>
      </c>
      <c r="C985" s="1" t="n">
        <v>46196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7720-2025</t>
        </is>
      </c>
      <c r="B986" s="1" t="n">
        <v>45705</v>
      </c>
      <c r="C986" s="1" t="n">
        <v>46196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24019-2023</t>
        </is>
      </c>
      <c r="B987" s="1" t="n">
        <v>45078</v>
      </c>
      <c r="C987" s="1" t="n">
        <v>46196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13840-2025</t>
        </is>
      </c>
      <c r="B988" s="1" t="n">
        <v>45737</v>
      </c>
      <c r="C988" s="1" t="n">
        <v>46196</v>
      </c>
      <c r="D988" t="inlineStr">
        <is>
          <t>KRONOBERGS LÄN</t>
        </is>
      </c>
      <c r="E988" t="inlineStr">
        <is>
          <t>VÄXJÖ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29984-2023</t>
        </is>
      </c>
      <c r="B989" s="1" t="n">
        <v>45108</v>
      </c>
      <c r="C989" s="1" t="n">
        <v>46196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28801-2022</t>
        </is>
      </c>
      <c r="B990" s="1" t="n">
        <v>44749</v>
      </c>
      <c r="C990" s="1" t="n">
        <v>46196</v>
      </c>
      <c r="D990" t="inlineStr">
        <is>
          <t>KRONOBERGS LÄN</t>
        </is>
      </c>
      <c r="E990" t="inlineStr">
        <is>
          <t>VÄXJÖ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26139-2024</t>
        </is>
      </c>
      <c r="B991" s="1" t="n">
        <v>45468</v>
      </c>
      <c r="C991" s="1" t="n">
        <v>46196</v>
      </c>
      <c r="D991" t="inlineStr">
        <is>
          <t>KRONOBERGS LÄN</t>
        </is>
      </c>
      <c r="E991" t="inlineStr">
        <is>
          <t>VÄXJÖ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33206-2023</t>
        </is>
      </c>
      <c r="B992" s="1" t="n">
        <v>45127</v>
      </c>
      <c r="C992" s="1" t="n">
        <v>46196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63102-2023</t>
        </is>
      </c>
      <c r="B993" s="1" t="n">
        <v>45273</v>
      </c>
      <c r="C993" s="1" t="n">
        <v>46196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13977-2024</t>
        </is>
      </c>
      <c r="B994" s="1" t="n">
        <v>45392</v>
      </c>
      <c r="C994" s="1" t="n">
        <v>46196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52106-2024</t>
        </is>
      </c>
      <c r="B995" s="1" t="n">
        <v>45608</v>
      </c>
      <c r="C995" s="1" t="n">
        <v>46196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56952-2022</t>
        </is>
      </c>
      <c r="B996" s="1" t="n">
        <v>44894</v>
      </c>
      <c r="C996" s="1" t="n">
        <v>46196</v>
      </c>
      <c r="D996" t="inlineStr">
        <is>
          <t>KRONOBERGS LÄN</t>
        </is>
      </c>
      <c r="E996" t="inlineStr">
        <is>
          <t>VÄXJÖ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17095-2022</t>
        </is>
      </c>
      <c r="B997" s="1" t="n">
        <v>44677</v>
      </c>
      <c r="C997" s="1" t="n">
        <v>46196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18718-2025</t>
        </is>
      </c>
      <c r="B998" s="1" t="n">
        <v>45763</v>
      </c>
      <c r="C998" s="1" t="n">
        <v>46196</v>
      </c>
      <c r="D998" t="inlineStr">
        <is>
          <t>KRONOBERGS LÄN</t>
        </is>
      </c>
      <c r="E998" t="inlineStr">
        <is>
          <t>VÄXJÖ</t>
        </is>
      </c>
      <c r="F998" t="inlineStr">
        <is>
          <t>Övriga statliga verk och myndigheter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25461-2023</t>
        </is>
      </c>
      <c r="B999" s="1" t="n">
        <v>45089</v>
      </c>
      <c r="C999" s="1" t="n">
        <v>46196</v>
      </c>
      <c r="D999" t="inlineStr">
        <is>
          <t>KRONOBERGS LÄN</t>
        </is>
      </c>
      <c r="E999" t="inlineStr">
        <is>
          <t>VÄXJÖ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54866-2023</t>
        </is>
      </c>
      <c r="B1000" s="1" t="n">
        <v>45236</v>
      </c>
      <c r="C1000" s="1" t="n">
        <v>46196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13975-2024</t>
        </is>
      </c>
      <c r="B1001" s="1" t="n">
        <v>45392</v>
      </c>
      <c r="C1001" s="1" t="n">
        <v>46196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6786-2024</t>
        </is>
      </c>
      <c r="B1002" s="1" t="n">
        <v>45342</v>
      </c>
      <c r="C1002" s="1" t="n">
        <v>46196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44661-2023</t>
        </is>
      </c>
      <c r="B1003" s="1" t="n">
        <v>45189</v>
      </c>
      <c r="C1003" s="1" t="n">
        <v>46196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44663-2023</t>
        </is>
      </c>
      <c r="B1004" s="1" t="n">
        <v>45189</v>
      </c>
      <c r="C1004" s="1" t="n">
        <v>46196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60119-2022</t>
        </is>
      </c>
      <c r="B1005" s="1" t="n">
        <v>44909</v>
      </c>
      <c r="C1005" s="1" t="n">
        <v>46196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44737-2023</t>
        </is>
      </c>
      <c r="B1006" s="1" t="n">
        <v>45190</v>
      </c>
      <c r="C1006" s="1" t="n">
        <v>46196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9357-2025</t>
        </is>
      </c>
      <c r="B1007" s="1" t="n">
        <v>45714</v>
      </c>
      <c r="C1007" s="1" t="n">
        <v>46196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6051-2022</t>
        </is>
      </c>
      <c r="B1008" s="1" t="n">
        <v>44599</v>
      </c>
      <c r="C1008" s="1" t="n">
        <v>46196</v>
      </c>
      <c r="D1008" t="inlineStr">
        <is>
          <t>KRONOBERGS LÄN</t>
        </is>
      </c>
      <c r="E1008" t="inlineStr">
        <is>
          <t>VÄXJÖ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53522-2024</t>
        </is>
      </c>
      <c r="B1009" s="1" t="n">
        <v>45614</v>
      </c>
      <c r="C1009" s="1" t="n">
        <v>46196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5288-2025</t>
        </is>
      </c>
      <c r="B1010" s="1" t="n">
        <v>45692</v>
      </c>
      <c r="C1010" s="1" t="n">
        <v>46196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12845-2024</t>
        </is>
      </c>
      <c r="B1011" s="1" t="n">
        <v>45384</v>
      </c>
      <c r="C1011" s="1" t="n">
        <v>46196</v>
      </c>
      <c r="D1011" t="inlineStr">
        <is>
          <t>KRONOBERGS LÄN</t>
        </is>
      </c>
      <c r="E1011" t="inlineStr">
        <is>
          <t>VÄXJÖ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22736-2024</t>
        </is>
      </c>
      <c r="B1012" s="1" t="n">
        <v>45448</v>
      </c>
      <c r="C1012" s="1" t="n">
        <v>46196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153-2024</t>
        </is>
      </c>
      <c r="B1013" s="1" t="n">
        <v>45294</v>
      </c>
      <c r="C1013" s="1" t="n">
        <v>46196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51224-2023</t>
        </is>
      </c>
      <c r="B1014" s="1" t="n">
        <v>45219</v>
      </c>
      <c r="C1014" s="1" t="n">
        <v>46196</v>
      </c>
      <c r="D1014" t="inlineStr">
        <is>
          <t>KRONOBERGS LÄN</t>
        </is>
      </c>
      <c r="E1014" t="inlineStr">
        <is>
          <t>VÄXJÖ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35546-2023</t>
        </is>
      </c>
      <c r="B1015" s="1" t="n">
        <v>45147</v>
      </c>
      <c r="C1015" s="1" t="n">
        <v>46196</v>
      </c>
      <c r="D1015" t="inlineStr">
        <is>
          <t>KRONOBERGS LÄN</t>
        </is>
      </c>
      <c r="E1015" t="inlineStr">
        <is>
          <t>VÄXJÖ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70401-2021</t>
        </is>
      </c>
      <c r="B1016" s="1" t="n">
        <v>44536</v>
      </c>
      <c r="C1016" s="1" t="n">
        <v>46196</v>
      </c>
      <c r="D1016" t="inlineStr">
        <is>
          <t>KRONOBERGS LÄN</t>
        </is>
      </c>
      <c r="E1016" t="inlineStr">
        <is>
          <t>VÄXJÖ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25569-2022</t>
        </is>
      </c>
      <c r="B1017" s="1" t="n">
        <v>44732</v>
      </c>
      <c r="C1017" s="1" t="n">
        <v>46196</v>
      </c>
      <c r="D1017" t="inlineStr">
        <is>
          <t>KRONOBERGS LÄN</t>
        </is>
      </c>
      <c r="E1017" t="inlineStr">
        <is>
          <t>VÄXJÖ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50438-2023</t>
        </is>
      </c>
      <c r="B1018" s="1" t="n">
        <v>45216</v>
      </c>
      <c r="C1018" s="1" t="n">
        <v>46196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46565-2023</t>
        </is>
      </c>
      <c r="B1019" s="1" t="n">
        <v>45198</v>
      </c>
      <c r="C1019" s="1" t="n">
        <v>46196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34230-2021</t>
        </is>
      </c>
      <c r="B1020" s="1" t="n">
        <v>44379</v>
      </c>
      <c r="C1020" s="1" t="n">
        <v>46196</v>
      </c>
      <c r="D1020" t="inlineStr">
        <is>
          <t>KRONOBERGS LÄN</t>
        </is>
      </c>
      <c r="E1020" t="inlineStr">
        <is>
          <t>VÄXJÖ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60767-2024</t>
        </is>
      </c>
      <c r="B1021" s="1" t="n">
        <v>45644</v>
      </c>
      <c r="C1021" s="1" t="n">
        <v>46196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14686-2023</t>
        </is>
      </c>
      <c r="B1022" s="1" t="n">
        <v>45014</v>
      </c>
      <c r="C1022" s="1" t="n">
        <v>46196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57606-2022</t>
        </is>
      </c>
      <c r="B1023" s="1" t="n">
        <v>44897</v>
      </c>
      <c r="C1023" s="1" t="n">
        <v>46196</v>
      </c>
      <c r="D1023" t="inlineStr">
        <is>
          <t>KRONOBERGS LÄN</t>
        </is>
      </c>
      <c r="E1023" t="inlineStr">
        <is>
          <t>VÄXJÖ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14766-2023</t>
        </is>
      </c>
      <c r="B1024" s="1" t="n">
        <v>45014</v>
      </c>
      <c r="C1024" s="1" t="n">
        <v>46196</v>
      </c>
      <c r="D1024" t="inlineStr">
        <is>
          <t>KRONOBERGS LÄN</t>
        </is>
      </c>
      <c r="E1024" t="inlineStr">
        <is>
          <t>VÄXJÖ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14989-2025</t>
        </is>
      </c>
      <c r="B1025" s="1" t="n">
        <v>45743</v>
      </c>
      <c r="C1025" s="1" t="n">
        <v>46196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36267-2024</t>
        </is>
      </c>
      <c r="B1026" s="1" t="n">
        <v>45534</v>
      </c>
      <c r="C1026" s="1" t="n">
        <v>46196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7154-2025</t>
        </is>
      </c>
      <c r="B1027" s="1" t="n">
        <v>45702</v>
      </c>
      <c r="C1027" s="1" t="n">
        <v>46196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51416-2023</t>
        </is>
      </c>
      <c r="B1028" s="1" t="n">
        <v>45219</v>
      </c>
      <c r="C1028" s="1" t="n">
        <v>46196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16948-2022</t>
        </is>
      </c>
      <c r="B1029" s="1" t="n">
        <v>44676</v>
      </c>
      <c r="C1029" s="1" t="n">
        <v>46196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32493-2023</t>
        </is>
      </c>
      <c r="B1030" s="1" t="n">
        <v>45121</v>
      </c>
      <c r="C1030" s="1" t="n">
        <v>46196</v>
      </c>
      <c r="D1030" t="inlineStr">
        <is>
          <t>KRONOBERGS LÄN</t>
        </is>
      </c>
      <c r="E1030" t="inlineStr">
        <is>
          <t>VÄXJÖ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32495-2023</t>
        </is>
      </c>
      <c r="B1031" s="1" t="n">
        <v>45121</v>
      </c>
      <c r="C1031" s="1" t="n">
        <v>46196</v>
      </c>
      <c r="D1031" t="inlineStr">
        <is>
          <t>KRONOBERGS LÄN</t>
        </is>
      </c>
      <c r="E1031" t="inlineStr">
        <is>
          <t>VÄXJÖ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32503-2023</t>
        </is>
      </c>
      <c r="B1032" s="1" t="n">
        <v>45121</v>
      </c>
      <c r="C1032" s="1" t="n">
        <v>46196</v>
      </c>
      <c r="D1032" t="inlineStr">
        <is>
          <t>KRONOBERGS LÄN</t>
        </is>
      </c>
      <c r="E1032" t="inlineStr">
        <is>
          <t>VÄXJÖ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21186-2024</t>
        </is>
      </c>
      <c r="B1033" s="1" t="n">
        <v>45440</v>
      </c>
      <c r="C1033" s="1" t="n">
        <v>46196</v>
      </c>
      <c r="D1033" t="inlineStr">
        <is>
          <t>KRONOBERGS LÄN</t>
        </is>
      </c>
      <c r="E1033" t="inlineStr">
        <is>
          <t>VÄXJÖ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61193-2024</t>
        </is>
      </c>
      <c r="B1034" s="1" t="n">
        <v>45645</v>
      </c>
      <c r="C1034" s="1" t="n">
        <v>46196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5352-2025</t>
        </is>
      </c>
      <c r="B1035" s="1" t="n">
        <v>45692</v>
      </c>
      <c r="C1035" s="1" t="n">
        <v>46196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16200-2023</t>
        </is>
      </c>
      <c r="B1036" s="1" t="n">
        <v>45028</v>
      </c>
      <c r="C1036" s="1" t="n">
        <v>46196</v>
      </c>
      <c r="D1036" t="inlineStr">
        <is>
          <t>KRONOBERGS LÄN</t>
        </is>
      </c>
      <c r="E1036" t="inlineStr">
        <is>
          <t>VÄXJÖ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21008-2025</t>
        </is>
      </c>
      <c r="B1037" s="1" t="n">
        <v>45777</v>
      </c>
      <c r="C1037" s="1" t="n">
        <v>46196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21011-2025</t>
        </is>
      </c>
      <c r="B1038" s="1" t="n">
        <v>45777</v>
      </c>
      <c r="C1038" s="1" t="n">
        <v>46196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46576-2023</t>
        </is>
      </c>
      <c r="B1039" s="1" t="n">
        <v>45194</v>
      </c>
      <c r="C1039" s="1" t="n">
        <v>46196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38895-2024</t>
        </is>
      </c>
      <c r="B1040" s="1" t="n">
        <v>45547</v>
      </c>
      <c r="C1040" s="1" t="n">
        <v>46196</v>
      </c>
      <c r="D1040" t="inlineStr">
        <is>
          <t>KRONOBERGS LÄN</t>
        </is>
      </c>
      <c r="E1040" t="inlineStr">
        <is>
          <t>VÄXJÖ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21010-2025</t>
        </is>
      </c>
      <c r="B1041" s="1" t="n">
        <v>45777</v>
      </c>
      <c r="C1041" s="1" t="n">
        <v>46196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33526-2024</t>
        </is>
      </c>
      <c r="B1042" s="1" t="n">
        <v>45519</v>
      </c>
      <c r="C1042" s="1" t="n">
        <v>46196</v>
      </c>
      <c r="D1042" t="inlineStr">
        <is>
          <t>KRONOBERGS LÄN</t>
        </is>
      </c>
      <c r="E1042" t="inlineStr">
        <is>
          <t>VÄXJÖ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21297-2025</t>
        </is>
      </c>
      <c r="B1043" s="1" t="n">
        <v>45780</v>
      </c>
      <c r="C1043" s="1" t="n">
        <v>46196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21298-2025</t>
        </is>
      </c>
      <c r="B1044" s="1" t="n">
        <v>45780</v>
      </c>
      <c r="C1044" s="1" t="n">
        <v>46196</v>
      </c>
      <c r="D1044" t="inlineStr">
        <is>
          <t>KRONOBERGS LÄN</t>
        </is>
      </c>
      <c r="E1044" t="inlineStr">
        <is>
          <t>VÄXJÖ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28731-2024</t>
        </is>
      </c>
      <c r="B1045" s="1" t="n">
        <v>45478</v>
      </c>
      <c r="C1045" s="1" t="n">
        <v>46196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38519-2024</t>
        </is>
      </c>
      <c r="B1046" s="1" t="n">
        <v>45546</v>
      </c>
      <c r="C1046" s="1" t="n">
        <v>46196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21695-2025</t>
        </is>
      </c>
      <c r="B1047" s="1" t="n">
        <v>45783</v>
      </c>
      <c r="C1047" s="1" t="n">
        <v>46196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21532-2025</t>
        </is>
      </c>
      <c r="B1048" s="1" t="n">
        <v>45782</v>
      </c>
      <c r="C1048" s="1" t="n">
        <v>46196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21301-2025</t>
        </is>
      </c>
      <c r="B1049" s="1" t="n">
        <v>45780</v>
      </c>
      <c r="C1049" s="1" t="n">
        <v>46196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2026-06-23T04:31:32Z</dcterms:created>
  <dcterms:modified xmlns:dcterms="http://purl.org/dc/terms/" xmlns:xsi="http://www.w3.org/2001/XMLSchema-instance" xsi:type="dcterms:W3CDTF">2026-06-23T04:31:33Z</dcterms:modified>
</cp:coreProperties>
</file>