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46083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46083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46083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46083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46083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46083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Hapalopilus aurantiacus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46083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46083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46083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46083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46083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46083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46083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46083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46083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46083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46083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46083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46083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46083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46083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46083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46083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46083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18079-2025</t>
        </is>
      </c>
      <c r="B26" s="1" t="n">
        <v>45761.50589120371</v>
      </c>
      <c r="C26" s="1" t="n">
        <v>46083</v>
      </c>
      <c r="D26" t="inlineStr">
        <is>
          <t>KRONOBERGS LÄN</t>
        </is>
      </c>
      <c r="E26" t="inlineStr">
        <is>
          <t>VÄXJÖ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18079-2025 artfynd.xlsx", "A 18079-2025")</f>
        <v/>
      </c>
      <c r="T26">
        <f>HYPERLINK("https://klasma.github.io/Logging_0780/kartor/A 18079-2025 karta.png", "A 18079-2025")</f>
        <v/>
      </c>
      <c r="V26">
        <f>HYPERLINK("https://klasma.github.io/Logging_0780/klagomål/A 18079-2025 FSC-klagomål.docx", "A 18079-2025")</f>
        <v/>
      </c>
      <c r="W26">
        <f>HYPERLINK("https://klasma.github.io/Logging_0780/klagomålsmail/A 18079-2025 FSC-klagomål mail.docx", "A 18079-2025")</f>
        <v/>
      </c>
      <c r="X26">
        <f>HYPERLINK("https://klasma.github.io/Logging_0780/tillsyn/A 18079-2025 tillsynsbegäran.docx", "A 18079-2025")</f>
        <v/>
      </c>
      <c r="Y26">
        <f>HYPERLINK("https://klasma.github.io/Logging_0780/tillsynsmail/A 18079-2025 tillsynsbegäran mail.docx", "A 18079-2025")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46083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63249-2023</t>
        </is>
      </c>
      <c r="B28" s="1" t="n">
        <v>45273</v>
      </c>
      <c r="C28" s="1" t="n">
        <v>46083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HYPERLINK("https://klasma.github.io/Logging_0780/artfynd/A 63249-2023 artfynd.xlsx", "A 63249-2023")</f>
        <v/>
      </c>
      <c r="T28">
        <f>HYPERLINK("https://klasma.github.io/Logging_0780/kartor/A 63249-2023 karta.png", "A 63249-2023")</f>
        <v/>
      </c>
      <c r="V28">
        <f>HYPERLINK("https://klasma.github.io/Logging_0780/klagomål/A 63249-2023 FSC-klagomål.docx", "A 63249-2023")</f>
        <v/>
      </c>
      <c r="W28">
        <f>HYPERLINK("https://klasma.github.io/Logging_0780/klagomålsmail/A 63249-2023 FSC-klagomål mail.docx", "A 63249-2023")</f>
        <v/>
      </c>
      <c r="X28">
        <f>HYPERLINK("https://klasma.github.io/Logging_0780/tillsyn/A 63249-2023 tillsynsbegäran.docx", "A 63249-2023")</f>
        <v/>
      </c>
      <c r="Y28">
        <f>HYPERLINK("https://klasma.github.io/Logging_0780/tillsynsmail/A 63249-2023 tillsynsbegäran mail.docx", "A 63249-2023")</f>
        <v/>
      </c>
    </row>
    <row r="29" ht="15" customHeight="1">
      <c r="A29" t="inlineStr">
        <is>
          <t>A 56802-2025</t>
        </is>
      </c>
      <c r="B29" s="1" t="n">
        <v>45978.4428587963</v>
      </c>
      <c r="C29" s="1" t="n">
        <v>46083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56802-2025 artfynd.xlsx", "A 56802-2025")</f>
        <v/>
      </c>
      <c r="T29">
        <f>HYPERLINK("https://klasma.github.io/Logging_0780/kartor/A 56802-2025 karta.png", "A 56802-2025")</f>
        <v/>
      </c>
      <c r="U29">
        <f>HYPERLINK("https://klasma.github.io/Logging_0780/knärot/A 56802-2025 karta knärot.png", "A 56802-2025")</f>
        <v/>
      </c>
      <c r="V29">
        <f>HYPERLINK("https://klasma.github.io/Logging_0780/klagomål/A 56802-2025 FSC-klagomål.docx", "A 56802-2025")</f>
        <v/>
      </c>
      <c r="W29">
        <f>HYPERLINK("https://klasma.github.io/Logging_0780/klagomålsmail/A 56802-2025 FSC-klagomål mail.docx", "A 56802-2025")</f>
        <v/>
      </c>
      <c r="X29">
        <f>HYPERLINK("https://klasma.github.io/Logging_0780/tillsyn/A 56802-2025 tillsynsbegäran.docx", "A 56802-2025")</f>
        <v/>
      </c>
      <c r="Y29">
        <f>HYPERLINK("https://klasma.github.io/Logging_0780/tillsynsmail/A 56802-2025 tillsynsbegäran mail.docx", "A 56802-2025")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46083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4380-2026</t>
        </is>
      </c>
      <c r="B31" s="1" t="n">
        <v>46045.55876157407</v>
      </c>
      <c r="C31" s="1" t="n">
        <v>46083</v>
      </c>
      <c r="D31" t="inlineStr">
        <is>
          <t>KRONOBERGS LÄN</t>
        </is>
      </c>
      <c r="E31" t="inlineStr">
        <is>
          <t>VÄXJÖ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4380-2026 artfynd.xlsx", "A 4380-2026")</f>
        <v/>
      </c>
      <c r="T31">
        <f>HYPERLINK("https://klasma.github.io/Logging_0780/kartor/A 4380-2026 karta.png", "A 4380-2026")</f>
        <v/>
      </c>
      <c r="V31">
        <f>HYPERLINK("https://klasma.github.io/Logging_0780/klagomål/A 4380-2026 FSC-klagomål.docx", "A 4380-2026")</f>
        <v/>
      </c>
      <c r="W31">
        <f>HYPERLINK("https://klasma.github.io/Logging_0780/klagomålsmail/A 4380-2026 FSC-klagomål mail.docx", "A 4380-2026")</f>
        <v/>
      </c>
      <c r="X31">
        <f>HYPERLINK("https://klasma.github.io/Logging_0780/tillsyn/A 4380-2026 tillsynsbegäran.docx", "A 4380-2026")</f>
        <v/>
      </c>
      <c r="Y31">
        <f>HYPERLINK("https://klasma.github.io/Logging_0780/tillsynsmail/A 4380-2026 tillsynsbegäran mail.docx", "A 4380-2026")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46083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46083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46083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46083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46083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46083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46083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46083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51647-2024</t>
        </is>
      </c>
      <c r="B40" s="1" t="n">
        <v>45606.38186342592</v>
      </c>
      <c r="C40" s="1" t="n">
        <v>46083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46083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46083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46083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46083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46083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46083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46083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46083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46083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46083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46083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46083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46083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22614-2021</t>
        </is>
      </c>
      <c r="B54" s="1" t="n">
        <v>44327</v>
      </c>
      <c r="C54" s="1" t="n">
        <v>46083</v>
      </c>
      <c r="D54" t="inlineStr">
        <is>
          <t>KRONOBERGS LÄN</t>
        </is>
      </c>
      <c r="E54" t="inlineStr">
        <is>
          <t>VÄXJÖ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21850-2021</t>
        </is>
      </c>
      <c r="B55" s="1" t="n">
        <v>44322</v>
      </c>
      <c r="C55" s="1" t="n">
        <v>46083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46083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17485-2021</t>
        </is>
      </c>
      <c r="B57" s="1" t="n">
        <v>44299</v>
      </c>
      <c r="C57" s="1" t="n">
        <v>46083</v>
      </c>
      <c r="D57" t="inlineStr">
        <is>
          <t>KRONOBERGS LÄN</t>
        </is>
      </c>
      <c r="E57" t="inlineStr">
        <is>
          <t>VÄXJÖ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46083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46083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46083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46083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18419-2021</t>
        </is>
      </c>
      <c r="B62" s="1" t="n">
        <v>44305</v>
      </c>
      <c r="C62" s="1" t="n">
        <v>46083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46083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46083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46083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46083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46083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46083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46083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46083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46083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46083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46083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46083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36334-2022</t>
        </is>
      </c>
      <c r="B75" s="1" t="n">
        <v>44803.73929398148</v>
      </c>
      <c r="C75" s="1" t="n">
        <v>46083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54147-2021</t>
        </is>
      </c>
      <c r="B76" s="1" t="n">
        <v>44470</v>
      </c>
      <c r="C76" s="1" t="n">
        <v>46083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46083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16290-2021</t>
        </is>
      </c>
      <c r="B78" s="1" t="n">
        <v>44292.65935185185</v>
      </c>
      <c r="C78" s="1" t="n">
        <v>46083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11652-2021</t>
        </is>
      </c>
      <c r="B79" s="1" t="n">
        <v>44264</v>
      </c>
      <c r="C79" s="1" t="n">
        <v>46083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46083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46083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46083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46083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46083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46083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46083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46083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46083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29182-2021</t>
        </is>
      </c>
      <c r="B89" s="1" t="n">
        <v>44358</v>
      </c>
      <c r="C89" s="1" t="n">
        <v>46083</v>
      </c>
      <c r="D89" t="inlineStr">
        <is>
          <t>KRONOBERGS LÄN</t>
        </is>
      </c>
      <c r="E89" t="inlineStr">
        <is>
          <t>VÄXJÖ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46254-2021</t>
        </is>
      </c>
      <c r="B90" s="1" t="n">
        <v>44442</v>
      </c>
      <c r="C90" s="1" t="n">
        <v>46083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46083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2096-2022</t>
        </is>
      </c>
      <c r="B92" s="1" t="n">
        <v>44577.67608796297</v>
      </c>
      <c r="C92" s="1" t="n">
        <v>46083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40697-2022</t>
        </is>
      </c>
      <c r="B93" s="1" t="n">
        <v>44820</v>
      </c>
      <c r="C93" s="1" t="n">
        <v>46083</v>
      </c>
      <c r="D93" t="inlineStr">
        <is>
          <t>KRONOBERGS LÄN</t>
        </is>
      </c>
      <c r="E93" t="inlineStr">
        <is>
          <t>VÄXJÖ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46083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54972-2021</t>
        </is>
      </c>
      <c r="B95" s="1" t="n">
        <v>44474</v>
      </c>
      <c r="C95" s="1" t="n">
        <v>46083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16162-2021</t>
        </is>
      </c>
      <c r="B96" s="1" t="n">
        <v>44292.38614583333</v>
      </c>
      <c r="C96" s="1" t="n">
        <v>46083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63420-2021</t>
        </is>
      </c>
      <c r="B97" s="1" t="n">
        <v>44508.56681712963</v>
      </c>
      <c r="C97" s="1" t="n">
        <v>46083</v>
      </c>
      <c r="D97" t="inlineStr">
        <is>
          <t>KRONOBERGS LÄN</t>
        </is>
      </c>
      <c r="E97" t="inlineStr">
        <is>
          <t>VÄXJÖ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60233-2021</t>
        </is>
      </c>
      <c r="B98" s="1" t="n">
        <v>44495.62099537037</v>
      </c>
      <c r="C98" s="1" t="n">
        <v>46083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53683-2022</t>
        </is>
      </c>
      <c r="B99" s="1" t="n">
        <v>44880.28204861111</v>
      </c>
      <c r="C99" s="1" t="n">
        <v>46083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20809-2021</t>
        </is>
      </c>
      <c r="B100" s="1" t="n">
        <v>44317</v>
      </c>
      <c r="C100" s="1" t="n">
        <v>46083</v>
      </c>
      <c r="D100" t="inlineStr">
        <is>
          <t>KRONOBERGS LÄN</t>
        </is>
      </c>
      <c r="E100" t="inlineStr">
        <is>
          <t>VÄXJÖ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65206-2021</t>
        </is>
      </c>
      <c r="B101" s="1" t="n">
        <v>44515</v>
      </c>
      <c r="C101" s="1" t="n">
        <v>46083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6131-2022</t>
        </is>
      </c>
      <c r="B102" s="1" t="n">
        <v>44599.68471064815</v>
      </c>
      <c r="C102" s="1" t="n">
        <v>46083</v>
      </c>
      <c r="D102" t="inlineStr">
        <is>
          <t>KRONOBERGS LÄN</t>
        </is>
      </c>
      <c r="E102" t="inlineStr">
        <is>
          <t>VÄXJÖ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11803-2021</t>
        </is>
      </c>
      <c r="B103" s="1" t="n">
        <v>44265</v>
      </c>
      <c r="C103" s="1" t="n">
        <v>46083</v>
      </c>
      <c r="D103" t="inlineStr">
        <is>
          <t>KRONOBERGS LÄN</t>
        </is>
      </c>
      <c r="E103" t="inlineStr">
        <is>
          <t>VÄXJÖ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13672-2021</t>
        </is>
      </c>
      <c r="B104" s="1" t="n">
        <v>44274.49215277778</v>
      </c>
      <c r="C104" s="1" t="n">
        <v>46083</v>
      </c>
      <c r="D104" t="inlineStr">
        <is>
          <t>KRONOBERGS LÄN</t>
        </is>
      </c>
      <c r="E104" t="inlineStr">
        <is>
          <t>VÄXJÖ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21239-2021</t>
        </is>
      </c>
      <c r="B105" s="1" t="n">
        <v>44320</v>
      </c>
      <c r="C105" s="1" t="n">
        <v>46083</v>
      </c>
      <c r="D105" t="inlineStr">
        <is>
          <t>KRONOBERGS LÄN</t>
        </is>
      </c>
      <c r="E105" t="inlineStr">
        <is>
          <t>VÄXJÖ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19072-2022</t>
        </is>
      </c>
      <c r="B106" s="1" t="n">
        <v>44691</v>
      </c>
      <c r="C106" s="1" t="n">
        <v>46083</v>
      </c>
      <c r="D106" t="inlineStr">
        <is>
          <t>KRONOBERGS LÄN</t>
        </is>
      </c>
      <c r="E106" t="inlineStr">
        <is>
          <t>VÄXJÖ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46083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46083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39550-2021</t>
        </is>
      </c>
      <c r="B109" s="1" t="n">
        <v>44416.46971064815</v>
      </c>
      <c r="C109" s="1" t="n">
        <v>46083</v>
      </c>
      <c r="D109" t="inlineStr">
        <is>
          <t>KRONOBERGS LÄN</t>
        </is>
      </c>
      <c r="E109" t="inlineStr">
        <is>
          <t>VÄXJÖ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60165-2021</t>
        </is>
      </c>
      <c r="B110" s="1" t="n">
        <v>44495</v>
      </c>
      <c r="C110" s="1" t="n">
        <v>46083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6058-2022</t>
        </is>
      </c>
      <c r="B111" s="1" t="n">
        <v>44599.55104166667</v>
      </c>
      <c r="C111" s="1" t="n">
        <v>46083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36089-2021</t>
        </is>
      </c>
      <c r="B112" s="1" t="n">
        <v>44389.50287037037</v>
      </c>
      <c r="C112" s="1" t="n">
        <v>46083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14247-2022</t>
        </is>
      </c>
      <c r="B113" s="1" t="n">
        <v>44651</v>
      </c>
      <c r="C113" s="1" t="n">
        <v>46083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53251-2022</t>
        </is>
      </c>
      <c r="B114" s="1" t="n">
        <v>44876.69045138889</v>
      </c>
      <c r="C114" s="1" t="n">
        <v>46083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15272-2021</t>
        </is>
      </c>
      <c r="B115" s="1" t="n">
        <v>44284.57021990741</v>
      </c>
      <c r="C115" s="1" t="n">
        <v>46083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16462-2022</t>
        </is>
      </c>
      <c r="B116" s="1" t="n">
        <v>44671</v>
      </c>
      <c r="C116" s="1" t="n">
        <v>46083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11649-2021</t>
        </is>
      </c>
      <c r="B117" s="1" t="n">
        <v>44264</v>
      </c>
      <c r="C117" s="1" t="n">
        <v>46083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11651-2021</t>
        </is>
      </c>
      <c r="B118" s="1" t="n">
        <v>44264</v>
      </c>
      <c r="C118" s="1" t="n">
        <v>46083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44466.60013888889</v>
      </c>
      <c r="C119" s="1" t="n">
        <v>46083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55622-2021</t>
        </is>
      </c>
      <c r="B120" s="1" t="n">
        <v>44476</v>
      </c>
      <c r="C120" s="1" t="n">
        <v>46083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60349-2021</t>
        </is>
      </c>
      <c r="B121" s="1" t="n">
        <v>44496</v>
      </c>
      <c r="C121" s="1" t="n">
        <v>46083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37311-2021</t>
        </is>
      </c>
      <c r="B122" s="1" t="n">
        <v>44397</v>
      </c>
      <c r="C122" s="1" t="n">
        <v>46083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37324-2021</t>
        </is>
      </c>
      <c r="B123" s="1" t="n">
        <v>44396</v>
      </c>
      <c r="C123" s="1" t="n">
        <v>46083</v>
      </c>
      <c r="D123" t="inlineStr">
        <is>
          <t>KRONOBERGS LÄN</t>
        </is>
      </c>
      <c r="E123" t="inlineStr">
        <is>
          <t>VÄXJÖ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29183-2021</t>
        </is>
      </c>
      <c r="B124" s="1" t="n">
        <v>44358</v>
      </c>
      <c r="C124" s="1" t="n">
        <v>46083</v>
      </c>
      <c r="D124" t="inlineStr">
        <is>
          <t>KRONOBERGS LÄN</t>
        </is>
      </c>
      <c r="E124" t="inlineStr">
        <is>
          <t>VÄXJÖ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29160-2022</t>
        </is>
      </c>
      <c r="B125" s="1" t="n">
        <v>44750</v>
      </c>
      <c r="C125" s="1" t="n">
        <v>46083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46083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46083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40496-2021</t>
        </is>
      </c>
      <c r="B128" s="1" t="n">
        <v>44420.32788194445</v>
      </c>
      <c r="C128" s="1" t="n">
        <v>46083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44427.65782407407</v>
      </c>
      <c r="C129" s="1" t="n">
        <v>46083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44442.54784722222</v>
      </c>
      <c r="C130" s="1" t="n">
        <v>46083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44543.68087962963</v>
      </c>
      <c r="C131" s="1" t="n">
        <v>46083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53135-2021</t>
        </is>
      </c>
      <c r="B132" s="1" t="n">
        <v>44468.3096875</v>
      </c>
      <c r="C132" s="1" t="n">
        <v>46083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7245-2022</t>
        </is>
      </c>
      <c r="B133" s="1" t="n">
        <v>44606</v>
      </c>
      <c r="C133" s="1" t="n">
        <v>46083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42005-2021</t>
        </is>
      </c>
      <c r="B134" s="1" t="n">
        <v>44426</v>
      </c>
      <c r="C134" s="1" t="n">
        <v>46083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54210-2021</t>
        </is>
      </c>
      <c r="B135" s="1" t="n">
        <v>44470.61033564815</v>
      </c>
      <c r="C135" s="1" t="n">
        <v>46083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8480-2022</t>
        </is>
      </c>
      <c r="B136" s="1" t="n">
        <v>44613.36252314815</v>
      </c>
      <c r="C136" s="1" t="n">
        <v>46083</v>
      </c>
      <c r="D136" t="inlineStr">
        <is>
          <t>KRONOBERGS LÄN</t>
        </is>
      </c>
      <c r="E136" t="inlineStr">
        <is>
          <t>VÄXJÖ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21856-2021</t>
        </is>
      </c>
      <c r="B137" s="1" t="n">
        <v>44322</v>
      </c>
      <c r="C137" s="1" t="n">
        <v>46083</v>
      </c>
      <c r="D137" t="inlineStr">
        <is>
          <t>KRONOBERGS LÄN</t>
        </is>
      </c>
      <c r="E137" t="inlineStr">
        <is>
          <t>VÄXJÖ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28080-2022</t>
        </is>
      </c>
      <c r="B138" s="1" t="n">
        <v>44746.44984953704</v>
      </c>
      <c r="C138" s="1" t="n">
        <v>46083</v>
      </c>
      <c r="D138" t="inlineStr">
        <is>
          <t>KRONOBERGS LÄN</t>
        </is>
      </c>
      <c r="E138" t="inlineStr">
        <is>
          <t>VÄXJÖ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54874-2021</t>
        </is>
      </c>
      <c r="B139" s="1" t="n">
        <v>44474.35017361111</v>
      </c>
      <c r="C139" s="1" t="n">
        <v>46083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39080-2021</t>
        </is>
      </c>
      <c r="B140" s="1" t="n">
        <v>44412</v>
      </c>
      <c r="C140" s="1" t="n">
        <v>46083</v>
      </c>
      <c r="D140" t="inlineStr">
        <is>
          <t>KRONOBERGS LÄN</t>
        </is>
      </c>
      <c r="E140" t="inlineStr">
        <is>
          <t>VÄXJÖ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23535-2021</t>
        </is>
      </c>
      <c r="B141" s="1" t="n">
        <v>44334</v>
      </c>
      <c r="C141" s="1" t="n">
        <v>46083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40494-2021</t>
        </is>
      </c>
      <c r="B142" s="1" t="n">
        <v>44420.32596064815</v>
      </c>
      <c r="C142" s="1" t="n">
        <v>46083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8324-2022</t>
        </is>
      </c>
      <c r="B143" s="1" t="n">
        <v>44610.50777777778</v>
      </c>
      <c r="C143" s="1" t="n">
        <v>46083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28832-2021</t>
        </is>
      </c>
      <c r="B144" s="1" t="n">
        <v>44357</v>
      </c>
      <c r="C144" s="1" t="n">
        <v>46083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8312-2022</t>
        </is>
      </c>
      <c r="B145" s="1" t="n">
        <v>44610</v>
      </c>
      <c r="C145" s="1" t="n">
        <v>46083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59529-2021</t>
        </is>
      </c>
      <c r="B146" s="1" t="n">
        <v>44491.5821875</v>
      </c>
      <c r="C146" s="1" t="n">
        <v>46083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26965-2022</t>
        </is>
      </c>
      <c r="B147" s="1" t="n">
        <v>44740.66774305556</v>
      </c>
      <c r="C147" s="1" t="n">
        <v>46083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57272-2021</t>
        </is>
      </c>
      <c r="B148" s="1" t="n">
        <v>44483</v>
      </c>
      <c r="C148" s="1" t="n">
        <v>46083</v>
      </c>
      <c r="D148" t="inlineStr">
        <is>
          <t>KRONOBERGS LÄN</t>
        </is>
      </c>
      <c r="E148" t="inlineStr">
        <is>
          <t>VÄXJÖ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9566-2022</t>
        </is>
      </c>
      <c r="B149" s="1" t="n">
        <v>44617.44428240741</v>
      </c>
      <c r="C149" s="1" t="n">
        <v>46083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42182-2021</t>
        </is>
      </c>
      <c r="B150" s="1" t="n">
        <v>44426.68665509259</v>
      </c>
      <c r="C150" s="1" t="n">
        <v>46083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50231-2021</t>
        </is>
      </c>
      <c r="B151" s="1" t="n">
        <v>44457.87717592593</v>
      </c>
      <c r="C151" s="1" t="n">
        <v>46083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46083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46083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73428-2021</t>
        </is>
      </c>
      <c r="B154" s="1" t="n">
        <v>44551</v>
      </c>
      <c r="C154" s="1" t="n">
        <v>46083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15551-2021</t>
        </is>
      </c>
      <c r="B155" s="1" t="n">
        <v>44285.5828125</v>
      </c>
      <c r="C155" s="1" t="n">
        <v>46083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37112-2021</t>
        </is>
      </c>
      <c r="B156" s="1" t="n">
        <v>44393</v>
      </c>
      <c r="C156" s="1" t="n">
        <v>46083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6132-2022</t>
        </is>
      </c>
      <c r="B157" s="1" t="n">
        <v>44599</v>
      </c>
      <c r="C157" s="1" t="n">
        <v>46083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46083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46083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52201-2021</t>
        </is>
      </c>
      <c r="B160" s="1" t="n">
        <v>44463</v>
      </c>
      <c r="C160" s="1" t="n">
        <v>46083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18233-2021</t>
        </is>
      </c>
      <c r="B161" s="1" t="n">
        <v>44303.48112268518</v>
      </c>
      <c r="C161" s="1" t="n">
        <v>46083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31012-2021</t>
        </is>
      </c>
      <c r="B162" s="1" t="n">
        <v>44367.09428240741</v>
      </c>
      <c r="C162" s="1" t="n">
        <v>46083</v>
      </c>
      <c r="D162" t="inlineStr">
        <is>
          <t>KRONOBERGS LÄN</t>
        </is>
      </c>
      <c r="E162" t="inlineStr">
        <is>
          <t>VÄXJÖ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13426-2022</t>
        </is>
      </c>
      <c r="B163" s="1" t="n">
        <v>44645</v>
      </c>
      <c r="C163" s="1" t="n">
        <v>46083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32222-2022</t>
        </is>
      </c>
      <c r="B164" s="1" t="n">
        <v>44781.45118055555</v>
      </c>
      <c r="C164" s="1" t="n">
        <v>46083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59667-2021</t>
        </is>
      </c>
      <c r="B165" s="1" t="n">
        <v>44494</v>
      </c>
      <c r="C165" s="1" t="n">
        <v>46083</v>
      </c>
      <c r="D165" t="inlineStr">
        <is>
          <t>KRONOBERGS LÄN</t>
        </is>
      </c>
      <c r="E165" t="inlineStr">
        <is>
          <t>VÄXJÖ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21014-2022</t>
        </is>
      </c>
      <c r="B166" s="1" t="n">
        <v>44704.36118055556</v>
      </c>
      <c r="C166" s="1" t="n">
        <v>46083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66862-2021</t>
        </is>
      </c>
      <c r="B167" s="1" t="n">
        <v>44522.45008101852</v>
      </c>
      <c r="C167" s="1" t="n">
        <v>46083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66863-2021</t>
        </is>
      </c>
      <c r="B168" s="1" t="n">
        <v>44522</v>
      </c>
      <c r="C168" s="1" t="n">
        <v>46083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69842-2021</t>
        </is>
      </c>
      <c r="B169" s="1" t="n">
        <v>44532.6606712963</v>
      </c>
      <c r="C169" s="1" t="n">
        <v>46083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69844-2021</t>
        </is>
      </c>
      <c r="B170" s="1" t="n">
        <v>44532.66989583334</v>
      </c>
      <c r="C170" s="1" t="n">
        <v>46083</v>
      </c>
      <c r="D170" t="inlineStr">
        <is>
          <t>KRONOBERGS LÄN</t>
        </is>
      </c>
      <c r="E170" t="inlineStr">
        <is>
          <t>VÄXJÖ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61339-2021</t>
        </is>
      </c>
      <c r="B171" s="1" t="n">
        <v>44498</v>
      </c>
      <c r="C171" s="1" t="n">
        <v>46083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45054-2021</t>
        </is>
      </c>
      <c r="B172" s="1" t="n">
        <v>44439</v>
      </c>
      <c r="C172" s="1" t="n">
        <v>46083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49037-2022</t>
        </is>
      </c>
      <c r="B173" s="1" t="n">
        <v>44860.45040509259</v>
      </c>
      <c r="C173" s="1" t="n">
        <v>46083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5673-2022</t>
        </is>
      </c>
      <c r="B174" s="1" t="n">
        <v>44596</v>
      </c>
      <c r="C174" s="1" t="n">
        <v>46083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1580-2022</t>
        </is>
      </c>
      <c r="B175" s="1" t="n">
        <v>44573</v>
      </c>
      <c r="C175" s="1" t="n">
        <v>46083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22296-2022</t>
        </is>
      </c>
      <c r="B176" s="1" t="n">
        <v>44712</v>
      </c>
      <c r="C176" s="1" t="n">
        <v>46083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2403-2022</t>
        </is>
      </c>
      <c r="B177" s="1" t="n">
        <v>44579</v>
      </c>
      <c r="C177" s="1" t="n">
        <v>46083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10216-2021</t>
        </is>
      </c>
      <c r="B178" s="1" t="n">
        <v>44256</v>
      </c>
      <c r="C178" s="1" t="n">
        <v>46083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21960-2022</t>
        </is>
      </c>
      <c r="B179" s="1" t="n">
        <v>44711.51280092593</v>
      </c>
      <c r="C179" s="1" t="n">
        <v>46083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44691-2021</t>
        </is>
      </c>
      <c r="B180" s="1" t="n">
        <v>44438</v>
      </c>
      <c r="C180" s="1" t="n">
        <v>46083</v>
      </c>
      <c r="D180" t="inlineStr">
        <is>
          <t>KRONOBERGS LÄN</t>
        </is>
      </c>
      <c r="E180" t="inlineStr">
        <is>
          <t>VÄXJÖ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31116-2022</t>
        </is>
      </c>
      <c r="B181" s="1" t="n">
        <v>44769.88133101852</v>
      </c>
      <c r="C181" s="1" t="n">
        <v>46083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62160-2021</t>
        </is>
      </c>
      <c r="B182" s="1" t="n">
        <v>44502.74899305555</v>
      </c>
      <c r="C182" s="1" t="n">
        <v>46083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38395-2022</t>
        </is>
      </c>
      <c r="B183" s="1" t="n">
        <v>44812</v>
      </c>
      <c r="C183" s="1" t="n">
        <v>46083</v>
      </c>
      <c r="D183" t="inlineStr">
        <is>
          <t>KRONOBERGS LÄN</t>
        </is>
      </c>
      <c r="E183" t="inlineStr">
        <is>
          <t>VÄXJÖ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48475-2021</t>
        </is>
      </c>
      <c r="B184" s="1" t="n">
        <v>44452.39826388889</v>
      </c>
      <c r="C184" s="1" t="n">
        <v>46083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13892-2021</t>
        </is>
      </c>
      <c r="B185" s="1" t="n">
        <v>44277</v>
      </c>
      <c r="C185" s="1" t="n">
        <v>46083</v>
      </c>
      <c r="D185" t="inlineStr">
        <is>
          <t>KRONOBERGS LÄN</t>
        </is>
      </c>
      <c r="E185" t="inlineStr">
        <is>
          <t>VÄXJÖ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58824-2021</t>
        </is>
      </c>
      <c r="B186" s="1" t="n">
        <v>44489</v>
      </c>
      <c r="C186" s="1" t="n">
        <v>46083</v>
      </c>
      <c r="D186" t="inlineStr">
        <is>
          <t>KRONOBERGS LÄN</t>
        </is>
      </c>
      <c r="E186" t="inlineStr">
        <is>
          <t>VÄXJÖ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58827-2021</t>
        </is>
      </c>
      <c r="B187" s="1" t="n">
        <v>44489</v>
      </c>
      <c r="C187" s="1" t="n">
        <v>46083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42468-2021</t>
        </is>
      </c>
      <c r="B188" s="1" t="n">
        <v>44427.62268518518</v>
      </c>
      <c r="C188" s="1" t="n">
        <v>46083</v>
      </c>
      <c r="D188" t="inlineStr">
        <is>
          <t>KRONOBERGS LÄN</t>
        </is>
      </c>
      <c r="E188" t="inlineStr">
        <is>
          <t>VÄXJÖ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22576-2021</t>
        </is>
      </c>
      <c r="B189" s="1" t="n">
        <v>44327</v>
      </c>
      <c r="C189" s="1" t="n">
        <v>46083</v>
      </c>
      <c r="D189" t="inlineStr">
        <is>
          <t>KRONOBERGS LÄN</t>
        </is>
      </c>
      <c r="E189" t="inlineStr">
        <is>
          <t>VÄXJÖ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57276-2021</t>
        </is>
      </c>
      <c r="B190" s="1" t="n">
        <v>44483</v>
      </c>
      <c r="C190" s="1" t="n">
        <v>46083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63278-2021</t>
        </is>
      </c>
      <c r="B191" s="1" t="n">
        <v>44508.40770833333</v>
      </c>
      <c r="C191" s="1" t="n">
        <v>46083</v>
      </c>
      <c r="D191" t="inlineStr">
        <is>
          <t>KRONOBERGS LÄN</t>
        </is>
      </c>
      <c r="E191" t="inlineStr">
        <is>
          <t>VÄXJÖ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28016-2021</t>
        </is>
      </c>
      <c r="B192" s="1" t="n">
        <v>44355</v>
      </c>
      <c r="C192" s="1" t="n">
        <v>46083</v>
      </c>
      <c r="D192" t="inlineStr">
        <is>
          <t>KRONOBERGS LÄN</t>
        </is>
      </c>
      <c r="E192" t="inlineStr">
        <is>
          <t>VÄXJÖ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12404-2021</t>
        </is>
      </c>
      <c r="B193" s="1" t="n">
        <v>44267.5725</v>
      </c>
      <c r="C193" s="1" t="n">
        <v>46083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43910-2021</t>
        </is>
      </c>
      <c r="B194" s="1" t="n">
        <v>44434.37454861111</v>
      </c>
      <c r="C194" s="1" t="n">
        <v>46083</v>
      </c>
      <c r="D194" t="inlineStr">
        <is>
          <t>KRONOBERGS LÄN</t>
        </is>
      </c>
      <c r="E194" t="inlineStr">
        <is>
          <t>VÄXJÖ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1797-2022</t>
        </is>
      </c>
      <c r="B195" s="1" t="n">
        <v>44574.59645833333</v>
      </c>
      <c r="C195" s="1" t="n">
        <v>46083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17388-2021</t>
        </is>
      </c>
      <c r="B196" s="1" t="n">
        <v>44298</v>
      </c>
      <c r="C196" s="1" t="n">
        <v>46083</v>
      </c>
      <c r="D196" t="inlineStr">
        <is>
          <t>KRONOBERGS LÄN</t>
        </is>
      </c>
      <c r="E196" t="inlineStr">
        <is>
          <t>VÄXJÖ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70646-2021</t>
        </is>
      </c>
      <c r="B197" s="1" t="n">
        <v>44537.49590277778</v>
      </c>
      <c r="C197" s="1" t="n">
        <v>46083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70675-2021</t>
        </is>
      </c>
      <c r="B198" s="1" t="n">
        <v>44537.56038194444</v>
      </c>
      <c r="C198" s="1" t="n">
        <v>46083</v>
      </c>
      <c r="D198" t="inlineStr">
        <is>
          <t>KRONOBERGS LÄN</t>
        </is>
      </c>
      <c r="E198" t="inlineStr">
        <is>
          <t>VÄXJÖ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924-2022</t>
        </is>
      </c>
      <c r="B199" s="1" t="n">
        <v>44571</v>
      </c>
      <c r="C199" s="1" t="n">
        <v>46083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58916-2021</t>
        </is>
      </c>
      <c r="B200" s="1" t="n">
        <v>44489.71826388889</v>
      </c>
      <c r="C200" s="1" t="n">
        <v>46083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18458-2021</t>
        </is>
      </c>
      <c r="B201" s="1" t="n">
        <v>44305</v>
      </c>
      <c r="C201" s="1" t="n">
        <v>46083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58060-2021</t>
        </is>
      </c>
      <c r="B202" s="1" t="n">
        <v>44487</v>
      </c>
      <c r="C202" s="1" t="n">
        <v>46083</v>
      </c>
      <c r="D202" t="inlineStr">
        <is>
          <t>KRONOBERGS LÄN</t>
        </is>
      </c>
      <c r="E202" t="inlineStr">
        <is>
          <t>VÄXJÖ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59237-2021</t>
        </is>
      </c>
      <c r="B203" s="1" t="n">
        <v>44490.64082175926</v>
      </c>
      <c r="C203" s="1" t="n">
        <v>46083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7219-2022</t>
        </is>
      </c>
      <c r="B204" s="1" t="n">
        <v>44603</v>
      </c>
      <c r="C204" s="1" t="n">
        <v>46083</v>
      </c>
      <c r="D204" t="inlineStr">
        <is>
          <t>KRONOBERGS LÄN</t>
        </is>
      </c>
      <c r="E204" t="inlineStr">
        <is>
          <t>VÄXJÖ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5869-2022</t>
        </is>
      </c>
      <c r="B205" s="1" t="n">
        <v>44596.66450231482</v>
      </c>
      <c r="C205" s="1" t="n">
        <v>46083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38344-2021</t>
        </is>
      </c>
      <c r="B206" s="1" t="n">
        <v>44406.50225694444</v>
      </c>
      <c r="C206" s="1" t="n">
        <v>46083</v>
      </c>
      <c r="D206" t="inlineStr">
        <is>
          <t>KRONOBERGS LÄN</t>
        </is>
      </c>
      <c r="E206" t="inlineStr">
        <is>
          <t>VÄXJÖ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11975-2021</t>
        </is>
      </c>
      <c r="B207" s="1" t="n">
        <v>44266</v>
      </c>
      <c r="C207" s="1" t="n">
        <v>46083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54389-2021</t>
        </is>
      </c>
      <c r="B208" s="1" t="n">
        <v>44473</v>
      </c>
      <c r="C208" s="1" t="n">
        <v>46083</v>
      </c>
      <c r="D208" t="inlineStr">
        <is>
          <t>KRONOBERGS LÄN</t>
        </is>
      </c>
      <c r="E208" t="inlineStr">
        <is>
          <t>VÄXJÖ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74489-2021</t>
        </is>
      </c>
      <c r="B209" s="1" t="n">
        <v>44560.60773148148</v>
      </c>
      <c r="C209" s="1" t="n">
        <v>46083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54852-2021</t>
        </is>
      </c>
      <c r="B210" s="1" t="n">
        <v>44474</v>
      </c>
      <c r="C210" s="1" t="n">
        <v>46083</v>
      </c>
      <c r="D210" t="inlineStr">
        <is>
          <t>KRONOBERGS LÄN</t>
        </is>
      </c>
      <c r="E210" t="inlineStr">
        <is>
          <t>VÄXJÖ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40015-2022</t>
        </is>
      </c>
      <c r="B211" s="1" t="n">
        <v>44820.40097222223</v>
      </c>
      <c r="C211" s="1" t="n">
        <v>46083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40017-2022</t>
        </is>
      </c>
      <c r="B212" s="1" t="n">
        <v>44820.40373842593</v>
      </c>
      <c r="C212" s="1" t="n">
        <v>46083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46585-2023</t>
        </is>
      </c>
      <c r="B213" s="1" t="n">
        <v>45194</v>
      </c>
      <c r="C213" s="1" t="n">
        <v>46083</v>
      </c>
      <c r="D213" t="inlineStr">
        <is>
          <t>KRONOBERGS LÄN</t>
        </is>
      </c>
      <c r="E213" t="inlineStr">
        <is>
          <t>VÄXJÖ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27165-2022</t>
        </is>
      </c>
      <c r="B214" s="1" t="n">
        <v>44741.5471412037</v>
      </c>
      <c r="C214" s="1" t="n">
        <v>46083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9389-2025</t>
        </is>
      </c>
      <c r="B215" s="1" t="n">
        <v>45715.3468287037</v>
      </c>
      <c r="C215" s="1" t="n">
        <v>46083</v>
      </c>
      <c r="D215" t="inlineStr">
        <is>
          <t>KRONOBERGS LÄN</t>
        </is>
      </c>
      <c r="E215" t="inlineStr">
        <is>
          <t>VÄXJÖ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10228-2021</t>
        </is>
      </c>
      <c r="B216" s="1" t="n">
        <v>44256</v>
      </c>
      <c r="C216" s="1" t="n">
        <v>46083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51224-2023</t>
        </is>
      </c>
      <c r="B217" s="1" t="n">
        <v>45219.45643518519</v>
      </c>
      <c r="C217" s="1" t="n">
        <v>46083</v>
      </c>
      <c r="D217" t="inlineStr">
        <is>
          <t>KRONOBERGS LÄN</t>
        </is>
      </c>
      <c r="E217" t="inlineStr">
        <is>
          <t>VÄXJÖ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19913-2025</t>
        </is>
      </c>
      <c r="B218" s="1" t="n">
        <v>45771.61038194445</v>
      </c>
      <c r="C218" s="1" t="n">
        <v>46083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38688-2022</t>
        </is>
      </c>
      <c r="B219" s="1" t="n">
        <v>44814.29394675926</v>
      </c>
      <c r="C219" s="1" t="n">
        <v>46083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38689-2022</t>
        </is>
      </c>
      <c r="B220" s="1" t="n">
        <v>44814.30006944444</v>
      </c>
      <c r="C220" s="1" t="n">
        <v>46083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5003-2024</t>
        </is>
      </c>
      <c r="B221" s="1" t="n">
        <v>45329</v>
      </c>
      <c r="C221" s="1" t="n">
        <v>46083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16751-2025</t>
        </is>
      </c>
      <c r="B222" s="1" t="n">
        <v>45754.568125</v>
      </c>
      <c r="C222" s="1" t="n">
        <v>46083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16781-2025</t>
        </is>
      </c>
      <c r="B223" s="1" t="n">
        <v>45754</v>
      </c>
      <c r="C223" s="1" t="n">
        <v>46083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36375-2024</t>
        </is>
      </c>
      <c r="B224" s="1" t="n">
        <v>45534.68802083333</v>
      </c>
      <c r="C224" s="1" t="n">
        <v>46083</v>
      </c>
      <c r="D224" t="inlineStr">
        <is>
          <t>KRONOBERGS LÄN</t>
        </is>
      </c>
      <c r="E224" t="inlineStr">
        <is>
          <t>VÄXJÖ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27548-2021</t>
        </is>
      </c>
      <c r="B225" s="1" t="n">
        <v>44351.78537037037</v>
      </c>
      <c r="C225" s="1" t="n">
        <v>46083</v>
      </c>
      <c r="D225" t="inlineStr">
        <is>
          <t>KRONOBERGS LÄN</t>
        </is>
      </c>
      <c r="E225" t="inlineStr">
        <is>
          <t>VÄXJÖ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50919-2022</t>
        </is>
      </c>
      <c r="B226" s="1" t="n">
        <v>44867.6309375</v>
      </c>
      <c r="C226" s="1" t="n">
        <v>46083</v>
      </c>
      <c r="D226" t="inlineStr">
        <is>
          <t>KRONOBERGS LÄN</t>
        </is>
      </c>
      <c r="E226" t="inlineStr">
        <is>
          <t>VÄXJÖ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11438-2024</t>
        </is>
      </c>
      <c r="B227" s="1" t="n">
        <v>45372</v>
      </c>
      <c r="C227" s="1" t="n">
        <v>46083</v>
      </c>
      <c r="D227" t="inlineStr">
        <is>
          <t>KRONOBERGS LÄN</t>
        </is>
      </c>
      <c r="E227" t="inlineStr">
        <is>
          <t>VÄXJÖ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51196-2023</t>
        </is>
      </c>
      <c r="B228" s="1" t="n">
        <v>45219.41693287037</v>
      </c>
      <c r="C228" s="1" t="n">
        <v>46083</v>
      </c>
      <c r="D228" t="inlineStr">
        <is>
          <t>KRONOBERGS LÄN</t>
        </is>
      </c>
      <c r="E228" t="inlineStr">
        <is>
          <t>VÄXJÖ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19495-2021</t>
        </is>
      </c>
      <c r="B229" s="1" t="n">
        <v>44308</v>
      </c>
      <c r="C229" s="1" t="n">
        <v>46083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34230-2021</t>
        </is>
      </c>
      <c r="B230" s="1" t="n">
        <v>44379.55199074074</v>
      </c>
      <c r="C230" s="1" t="n">
        <v>46083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60411-2023</t>
        </is>
      </c>
      <c r="B231" s="1" t="n">
        <v>45259</v>
      </c>
      <c r="C231" s="1" t="n">
        <v>46083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52519-2022</t>
        </is>
      </c>
      <c r="B232" s="1" t="n">
        <v>44874</v>
      </c>
      <c r="C232" s="1" t="n">
        <v>46083</v>
      </c>
      <c r="D232" t="inlineStr">
        <is>
          <t>KRONOBERGS LÄN</t>
        </is>
      </c>
      <c r="E232" t="inlineStr">
        <is>
          <t>VÄXJÖ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18813-2024</t>
        </is>
      </c>
      <c r="B233" s="1" t="n">
        <v>45426</v>
      </c>
      <c r="C233" s="1" t="n">
        <v>46083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13972-2024</t>
        </is>
      </c>
      <c r="B234" s="1" t="n">
        <v>45392</v>
      </c>
      <c r="C234" s="1" t="n">
        <v>46083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4728-2025</t>
        </is>
      </c>
      <c r="B235" s="1" t="n">
        <v>45688.43366898148</v>
      </c>
      <c r="C235" s="1" t="n">
        <v>46083</v>
      </c>
      <c r="D235" t="inlineStr">
        <is>
          <t>KRONOBERGS LÄN</t>
        </is>
      </c>
      <c r="E235" t="inlineStr">
        <is>
          <t>VÄXJÖ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783-2024</t>
        </is>
      </c>
      <c r="B236" s="1" t="n">
        <v>45300.55637731482</v>
      </c>
      <c r="C236" s="1" t="n">
        <v>46083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1252-2024</t>
        </is>
      </c>
      <c r="B237" s="1" t="n">
        <v>45302.78486111111</v>
      </c>
      <c r="C237" s="1" t="n">
        <v>46083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58475-2022</t>
        </is>
      </c>
      <c r="B238" s="1" t="n">
        <v>44894</v>
      </c>
      <c r="C238" s="1" t="n">
        <v>46083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16838-2025</t>
        </is>
      </c>
      <c r="B239" s="1" t="n">
        <v>45754.66629629629</v>
      </c>
      <c r="C239" s="1" t="n">
        <v>46083</v>
      </c>
      <c r="D239" t="inlineStr">
        <is>
          <t>KRONOBERGS LÄN</t>
        </is>
      </c>
      <c r="E239" t="inlineStr">
        <is>
          <t>VÄXJÖ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37113-2021</t>
        </is>
      </c>
      <c r="B240" s="1" t="n">
        <v>44393</v>
      </c>
      <c r="C240" s="1" t="n">
        <v>46083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1251-2024</t>
        </is>
      </c>
      <c r="B241" s="1" t="n">
        <v>45302.78386574074</v>
      </c>
      <c r="C241" s="1" t="n">
        <v>46083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13325-2024</t>
        </is>
      </c>
      <c r="B242" s="1" t="n">
        <v>45386.86743055555</v>
      </c>
      <c r="C242" s="1" t="n">
        <v>46083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19712-2024</t>
        </is>
      </c>
      <c r="B243" s="1" t="n">
        <v>45432.55671296296</v>
      </c>
      <c r="C243" s="1" t="n">
        <v>46083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35902-2024</t>
        </is>
      </c>
      <c r="B244" s="1" t="n">
        <v>45533.40498842593</v>
      </c>
      <c r="C244" s="1" t="n">
        <v>46083</v>
      </c>
      <c r="D244" t="inlineStr">
        <is>
          <t>KRONOBERGS LÄN</t>
        </is>
      </c>
      <c r="E244" t="inlineStr">
        <is>
          <t>VÄXJÖ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11079-2023</t>
        </is>
      </c>
      <c r="B245" s="1" t="n">
        <v>44986</v>
      </c>
      <c r="C245" s="1" t="n">
        <v>46083</v>
      </c>
      <c r="D245" t="inlineStr">
        <is>
          <t>KRONOBERGS LÄN</t>
        </is>
      </c>
      <c r="E245" t="inlineStr">
        <is>
          <t>VÄXJÖ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13973-2024</t>
        </is>
      </c>
      <c r="B246" s="1" t="n">
        <v>45392.38908564814</v>
      </c>
      <c r="C246" s="1" t="n">
        <v>46083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13977-2024</t>
        </is>
      </c>
      <c r="B247" s="1" t="n">
        <v>45392.39731481481</v>
      </c>
      <c r="C247" s="1" t="n">
        <v>46083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22436-2024</t>
        </is>
      </c>
      <c r="B248" s="1" t="n">
        <v>45446</v>
      </c>
      <c r="C248" s="1" t="n">
        <v>46083</v>
      </c>
      <c r="D248" t="inlineStr">
        <is>
          <t>KRONOBERGS LÄN</t>
        </is>
      </c>
      <c r="E248" t="inlineStr">
        <is>
          <t>VÄXJÖ</t>
        </is>
      </c>
      <c r="F248" t="inlineStr">
        <is>
          <t>Övriga Aktiebolag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17010-2024</t>
        </is>
      </c>
      <c r="B249" s="1" t="n">
        <v>45412.37150462963</v>
      </c>
      <c r="C249" s="1" t="n">
        <v>46083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42685-2021</t>
        </is>
      </c>
      <c r="B250" s="1" t="n">
        <v>44428</v>
      </c>
      <c r="C250" s="1" t="n">
        <v>46083</v>
      </c>
      <c r="D250" t="inlineStr">
        <is>
          <t>KRONOBERGS LÄN</t>
        </is>
      </c>
      <c r="E250" t="inlineStr">
        <is>
          <t>VÄXJÖ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3365-2024</t>
        </is>
      </c>
      <c r="B251" s="1" t="n">
        <v>45317.65170138889</v>
      </c>
      <c r="C251" s="1" t="n">
        <v>46083</v>
      </c>
      <c r="D251" t="inlineStr">
        <is>
          <t>KRONOBERGS LÄN</t>
        </is>
      </c>
      <c r="E251" t="inlineStr">
        <is>
          <t>VÄXJÖ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27096-2022</t>
        </is>
      </c>
      <c r="B252" s="1" t="n">
        <v>44741</v>
      </c>
      <c r="C252" s="1" t="n">
        <v>46083</v>
      </c>
      <c r="D252" t="inlineStr">
        <is>
          <t>KRONOBERGS LÄN</t>
        </is>
      </c>
      <c r="E252" t="inlineStr">
        <is>
          <t>VÄXJÖ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27097-2022</t>
        </is>
      </c>
      <c r="B253" s="1" t="n">
        <v>44741</v>
      </c>
      <c r="C253" s="1" t="n">
        <v>46083</v>
      </c>
      <c r="D253" t="inlineStr">
        <is>
          <t>KRONOBERGS LÄN</t>
        </is>
      </c>
      <c r="E253" t="inlineStr">
        <is>
          <t>VÄXJÖ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26121-2024</t>
        </is>
      </c>
      <c r="B254" s="1" t="n">
        <v>45468.46099537037</v>
      </c>
      <c r="C254" s="1" t="n">
        <v>46083</v>
      </c>
      <c r="D254" t="inlineStr">
        <is>
          <t>KRONOBERGS LÄN</t>
        </is>
      </c>
      <c r="E254" t="inlineStr">
        <is>
          <t>VÄXJÖ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33279-2023</t>
        </is>
      </c>
      <c r="B255" s="1" t="n">
        <v>45127.60962962963</v>
      </c>
      <c r="C255" s="1" t="n">
        <v>46083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33283-2023</t>
        </is>
      </c>
      <c r="B256" s="1" t="n">
        <v>45127.61971064815</v>
      </c>
      <c r="C256" s="1" t="n">
        <v>46083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22221-2024</t>
        </is>
      </c>
      <c r="B257" s="1" t="n">
        <v>45446.40025462963</v>
      </c>
      <c r="C257" s="1" t="n">
        <v>46083</v>
      </c>
      <c r="D257" t="inlineStr">
        <is>
          <t>KRONOBERGS LÄN</t>
        </is>
      </c>
      <c r="E257" t="inlineStr">
        <is>
          <t>VÄXJÖ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29140-2024</t>
        </is>
      </c>
      <c r="B258" s="1" t="n">
        <v>45482.41107638889</v>
      </c>
      <c r="C258" s="1" t="n">
        <v>46083</v>
      </c>
      <c r="D258" t="inlineStr">
        <is>
          <t>KRONOBERGS LÄN</t>
        </is>
      </c>
      <c r="E258" t="inlineStr">
        <is>
          <t>VÄXJÖ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54872-2023</t>
        </is>
      </c>
      <c r="B259" s="1" t="n">
        <v>45236.61423611111</v>
      </c>
      <c r="C259" s="1" t="n">
        <v>46083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30789-2023</t>
        </is>
      </c>
      <c r="B260" s="1" t="n">
        <v>45112</v>
      </c>
      <c r="C260" s="1" t="n">
        <v>46083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39478-2024</t>
        </is>
      </c>
      <c r="B261" s="1" t="n">
        <v>45551</v>
      </c>
      <c r="C261" s="1" t="n">
        <v>46083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25664-2024</t>
        </is>
      </c>
      <c r="B262" s="1" t="n">
        <v>45463</v>
      </c>
      <c r="C262" s="1" t="n">
        <v>46083</v>
      </c>
      <c r="D262" t="inlineStr">
        <is>
          <t>KRONOBERGS LÄN</t>
        </is>
      </c>
      <c r="E262" t="inlineStr">
        <is>
          <t>VÄXJÖ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59065-2022</t>
        </is>
      </c>
      <c r="B263" s="1" t="n">
        <v>44904.33903935185</v>
      </c>
      <c r="C263" s="1" t="n">
        <v>46083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59066-2022</t>
        </is>
      </c>
      <c r="B264" s="1" t="n">
        <v>44904.34511574074</v>
      </c>
      <c r="C264" s="1" t="n">
        <v>46083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1587-2022</t>
        </is>
      </c>
      <c r="B265" s="1" t="n">
        <v>44573</v>
      </c>
      <c r="C265" s="1" t="n">
        <v>46083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5760-2023</t>
        </is>
      </c>
      <c r="B266" s="1" t="n">
        <v>44963</v>
      </c>
      <c r="C266" s="1" t="n">
        <v>46083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5761-2023</t>
        </is>
      </c>
      <c r="B267" s="1" t="n">
        <v>44963</v>
      </c>
      <c r="C267" s="1" t="n">
        <v>46083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5764-2023</t>
        </is>
      </c>
      <c r="B268" s="1" t="n">
        <v>44963</v>
      </c>
      <c r="C268" s="1" t="n">
        <v>46083</v>
      </c>
      <c r="D268" t="inlineStr">
        <is>
          <t>KRONOBERGS LÄN</t>
        </is>
      </c>
      <c r="E268" t="inlineStr">
        <is>
          <t>VÄXJÖ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47674-2022</t>
        </is>
      </c>
      <c r="B269" s="1" t="n">
        <v>44854.4802199074</v>
      </c>
      <c r="C269" s="1" t="n">
        <v>46083</v>
      </c>
      <c r="D269" t="inlineStr">
        <is>
          <t>KRONOBERGS LÄN</t>
        </is>
      </c>
      <c r="E269" t="inlineStr">
        <is>
          <t>VÄXJÖ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35179-2021</t>
        </is>
      </c>
      <c r="B270" s="1" t="n">
        <v>44384</v>
      </c>
      <c r="C270" s="1" t="n">
        <v>46083</v>
      </c>
      <c r="D270" t="inlineStr">
        <is>
          <t>KRONOBERGS LÄN</t>
        </is>
      </c>
      <c r="E270" t="inlineStr">
        <is>
          <t>VÄXJÖ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28218-2024</t>
        </is>
      </c>
      <c r="B271" s="1" t="n">
        <v>45477.36792824074</v>
      </c>
      <c r="C271" s="1" t="n">
        <v>46083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56863-2022</t>
        </is>
      </c>
      <c r="B272" s="1" t="n">
        <v>44894</v>
      </c>
      <c r="C272" s="1" t="n">
        <v>46083</v>
      </c>
      <c r="D272" t="inlineStr">
        <is>
          <t>KRONOBERGS LÄN</t>
        </is>
      </c>
      <c r="E272" t="inlineStr">
        <is>
          <t>VÄXJÖ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153-2024</t>
        </is>
      </c>
      <c r="B273" s="1" t="n">
        <v>45294</v>
      </c>
      <c r="C273" s="1" t="n">
        <v>46083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57037-2023</t>
        </is>
      </c>
      <c r="B274" s="1" t="n">
        <v>45244.87707175926</v>
      </c>
      <c r="C274" s="1" t="n">
        <v>46083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6786-2024</t>
        </is>
      </c>
      <c r="B275" s="1" t="n">
        <v>45342.53827546296</v>
      </c>
      <c r="C275" s="1" t="n">
        <v>46083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5093-2024</t>
        </is>
      </c>
      <c r="B276" s="1" t="n">
        <v>45330</v>
      </c>
      <c r="C276" s="1" t="n">
        <v>46083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30436-2023</t>
        </is>
      </c>
      <c r="B277" s="1" t="n">
        <v>45111</v>
      </c>
      <c r="C277" s="1" t="n">
        <v>46083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3565-2023</t>
        </is>
      </c>
      <c r="B278" s="1" t="n">
        <v>44950.47614583333</v>
      </c>
      <c r="C278" s="1" t="n">
        <v>46083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36939-2023</t>
        </is>
      </c>
      <c r="B279" s="1" t="n">
        <v>45154</v>
      </c>
      <c r="C279" s="1" t="n">
        <v>46083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28219-2024</t>
        </is>
      </c>
      <c r="B280" s="1" t="n">
        <v>45477.36865740741</v>
      </c>
      <c r="C280" s="1" t="n">
        <v>46083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35061-2023</t>
        </is>
      </c>
      <c r="B281" s="1" t="n">
        <v>45145</v>
      </c>
      <c r="C281" s="1" t="n">
        <v>46083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15751-2023</t>
        </is>
      </c>
      <c r="B282" s="1" t="n">
        <v>45021.61420138889</v>
      </c>
      <c r="C282" s="1" t="n">
        <v>46083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72429-2021</t>
        </is>
      </c>
      <c r="B283" s="1" t="n">
        <v>44545.65563657408</v>
      </c>
      <c r="C283" s="1" t="n">
        <v>46083</v>
      </c>
      <c r="D283" t="inlineStr">
        <is>
          <t>KRONOBERGS LÄN</t>
        </is>
      </c>
      <c r="E283" t="inlineStr">
        <is>
          <t>VÄXJÖ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32828-2023</t>
        </is>
      </c>
      <c r="B284" s="1" t="n">
        <v>45124.58091435185</v>
      </c>
      <c r="C284" s="1" t="n">
        <v>46083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53687-2022</t>
        </is>
      </c>
      <c r="B285" s="1" t="n">
        <v>44880.29931712963</v>
      </c>
      <c r="C285" s="1" t="n">
        <v>46083</v>
      </c>
      <c r="D285" t="inlineStr">
        <is>
          <t>KRONOBERGS LÄN</t>
        </is>
      </c>
      <c r="E285" t="inlineStr">
        <is>
          <t>VÄXJÖ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29923-2024</t>
        </is>
      </c>
      <c r="B286" s="1" t="n">
        <v>45488.29020833333</v>
      </c>
      <c r="C286" s="1" t="n">
        <v>46083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62191-2022</t>
        </is>
      </c>
      <c r="B287" s="1" t="n">
        <v>44922</v>
      </c>
      <c r="C287" s="1" t="n">
        <v>46083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70676-2021</t>
        </is>
      </c>
      <c r="B288" s="1" t="n">
        <v>44537.56209490741</v>
      </c>
      <c r="C288" s="1" t="n">
        <v>46083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57443-2022</t>
        </is>
      </c>
      <c r="B289" s="1" t="n">
        <v>44896</v>
      </c>
      <c r="C289" s="1" t="n">
        <v>46083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41305-2021</t>
        </is>
      </c>
      <c r="B290" s="1" t="n">
        <v>44424.56576388889</v>
      </c>
      <c r="C290" s="1" t="n">
        <v>46083</v>
      </c>
      <c r="D290" t="inlineStr">
        <is>
          <t>KRONOBERGS LÄN</t>
        </is>
      </c>
      <c r="E290" t="inlineStr">
        <is>
          <t>VÄXJÖ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44737-2023</t>
        </is>
      </c>
      <c r="B291" s="1" t="n">
        <v>45190.38162037037</v>
      </c>
      <c r="C291" s="1" t="n">
        <v>46083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25593-2025</t>
        </is>
      </c>
      <c r="B292" s="1" t="n">
        <v>45803.50699074074</v>
      </c>
      <c r="C292" s="1" t="n">
        <v>46083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35868-2023</t>
        </is>
      </c>
      <c r="B293" s="1" t="n">
        <v>45148.54725694445</v>
      </c>
      <c r="C293" s="1" t="n">
        <v>46083</v>
      </c>
      <c r="D293" t="inlineStr">
        <is>
          <t>KRONOBERGS LÄN</t>
        </is>
      </c>
      <c r="E293" t="inlineStr">
        <is>
          <t>VÄXJÖ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35876-2023</t>
        </is>
      </c>
      <c r="B294" s="1" t="n">
        <v>45148</v>
      </c>
      <c r="C294" s="1" t="n">
        <v>46083</v>
      </c>
      <c r="D294" t="inlineStr">
        <is>
          <t>KRONOBERGS LÄN</t>
        </is>
      </c>
      <c r="E294" t="inlineStr">
        <is>
          <t>VÄXJÖ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44426-2024</t>
        </is>
      </c>
      <c r="B295" s="1" t="n">
        <v>45573.91921296297</v>
      </c>
      <c r="C295" s="1" t="n">
        <v>46083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50906-2022</t>
        </is>
      </c>
      <c r="B296" s="1" t="n">
        <v>44867.62049768519</v>
      </c>
      <c r="C296" s="1" t="n">
        <v>46083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38582-2025</t>
        </is>
      </c>
      <c r="B297" s="1" t="n">
        <v>45884.46983796296</v>
      </c>
      <c r="C297" s="1" t="n">
        <v>46083</v>
      </c>
      <c r="D297" t="inlineStr">
        <is>
          <t>KRONOBERGS LÄN</t>
        </is>
      </c>
      <c r="E297" t="inlineStr">
        <is>
          <t>VÄXJÖ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52833-2022</t>
        </is>
      </c>
      <c r="B298" s="1" t="n">
        <v>44872</v>
      </c>
      <c r="C298" s="1" t="n">
        <v>46083</v>
      </c>
      <c r="D298" t="inlineStr">
        <is>
          <t>KRONOBERGS LÄN</t>
        </is>
      </c>
      <c r="E298" t="inlineStr">
        <is>
          <t>VÄXJÖ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47088-2023</t>
        </is>
      </c>
      <c r="B299" s="1" t="n">
        <v>45201</v>
      </c>
      <c r="C299" s="1" t="n">
        <v>46083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64603-2023</t>
        </is>
      </c>
      <c r="B300" s="1" t="n">
        <v>45281</v>
      </c>
      <c r="C300" s="1" t="n">
        <v>46083</v>
      </c>
      <c r="D300" t="inlineStr">
        <is>
          <t>KRONOBERGS LÄN</t>
        </is>
      </c>
      <c r="E300" t="inlineStr">
        <is>
          <t>VÄXJÖ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31571-2025</t>
        </is>
      </c>
      <c r="B301" s="1" t="n">
        <v>45833.66576388889</v>
      </c>
      <c r="C301" s="1" t="n">
        <v>46083</v>
      </c>
      <c r="D301" t="inlineStr">
        <is>
          <t>KRONOBERGS LÄN</t>
        </is>
      </c>
      <c r="E301" t="inlineStr">
        <is>
          <t>VÄXJÖ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55517-2024</t>
        </is>
      </c>
      <c r="B302" s="1" t="n">
        <v>45622.47103009259</v>
      </c>
      <c r="C302" s="1" t="n">
        <v>46083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56213-2023</t>
        </is>
      </c>
      <c r="B303" s="1" t="n">
        <v>45240</v>
      </c>
      <c r="C303" s="1" t="n">
        <v>46083</v>
      </c>
      <c r="D303" t="inlineStr">
        <is>
          <t>KRONOBERGS LÄN</t>
        </is>
      </c>
      <c r="E303" t="inlineStr">
        <is>
          <t>VÄXJÖ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6051-2022</t>
        </is>
      </c>
      <c r="B304" s="1" t="n">
        <v>44599.52814814815</v>
      </c>
      <c r="C304" s="1" t="n">
        <v>46083</v>
      </c>
      <c r="D304" t="inlineStr">
        <is>
          <t>KRONOBERGS LÄN</t>
        </is>
      </c>
      <c r="E304" t="inlineStr">
        <is>
          <t>VÄXJÖ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50086-2024</t>
        </is>
      </c>
      <c r="B305" s="1" t="n">
        <v>45597</v>
      </c>
      <c r="C305" s="1" t="n">
        <v>46083</v>
      </c>
      <c r="D305" t="inlineStr">
        <is>
          <t>KRONOBERGS LÄN</t>
        </is>
      </c>
      <c r="E305" t="inlineStr">
        <is>
          <t>VÄXJÖ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38340-2025</t>
        </is>
      </c>
      <c r="B306" s="1" t="n">
        <v>45883.49791666667</v>
      </c>
      <c r="C306" s="1" t="n">
        <v>46083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1634-2025</t>
        </is>
      </c>
      <c r="B307" s="1" t="n">
        <v>45670</v>
      </c>
      <c r="C307" s="1" t="n">
        <v>46083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1643-2025</t>
        </is>
      </c>
      <c r="B308" s="1" t="n">
        <v>45670</v>
      </c>
      <c r="C308" s="1" t="n">
        <v>46083</v>
      </c>
      <c r="D308" t="inlineStr">
        <is>
          <t>KRONOBERGS LÄN</t>
        </is>
      </c>
      <c r="E308" t="inlineStr">
        <is>
          <t>VÄXJÖ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2023-2025</t>
        </is>
      </c>
      <c r="B309" s="1" t="n">
        <v>45672.47678240741</v>
      </c>
      <c r="C309" s="1" t="n">
        <v>46083</v>
      </c>
      <c r="D309" t="inlineStr">
        <is>
          <t>KRONOBERGS LÄN</t>
        </is>
      </c>
      <c r="E309" t="inlineStr">
        <is>
          <t>VÄXJÖ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20335-2023</t>
        </is>
      </c>
      <c r="B310" s="1" t="n">
        <v>45056.48001157407</v>
      </c>
      <c r="C310" s="1" t="n">
        <v>46083</v>
      </c>
      <c r="D310" t="inlineStr">
        <is>
          <t>KRONOBERGS LÄN</t>
        </is>
      </c>
      <c r="E310" t="inlineStr">
        <is>
          <t>VÄXJÖ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38346-2025</t>
        </is>
      </c>
      <c r="B311" s="1" t="n">
        <v>45883.51181712963</v>
      </c>
      <c r="C311" s="1" t="n">
        <v>46083</v>
      </c>
      <c r="D311" t="inlineStr">
        <is>
          <t>KRONOBERGS LÄN</t>
        </is>
      </c>
      <c r="E311" t="inlineStr">
        <is>
          <t>VÄXJÖ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38374-2025</t>
        </is>
      </c>
      <c r="B312" s="1" t="n">
        <v>45883.56824074074</v>
      </c>
      <c r="C312" s="1" t="n">
        <v>46083</v>
      </c>
      <c r="D312" t="inlineStr">
        <is>
          <t>KRONOBERGS LÄN</t>
        </is>
      </c>
      <c r="E312" t="inlineStr">
        <is>
          <t>VÄXJÖ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38393-2025</t>
        </is>
      </c>
      <c r="B313" s="1" t="n">
        <v>45883.57520833334</v>
      </c>
      <c r="C313" s="1" t="n">
        <v>46083</v>
      </c>
      <c r="D313" t="inlineStr">
        <is>
          <t>KRONOBERGS LÄN</t>
        </is>
      </c>
      <c r="E313" t="inlineStr">
        <is>
          <t>VÄXJÖ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38433-2025</t>
        </is>
      </c>
      <c r="B314" s="1" t="n">
        <v>45883.64103009259</v>
      </c>
      <c r="C314" s="1" t="n">
        <v>46083</v>
      </c>
      <c r="D314" t="inlineStr">
        <is>
          <t>KRONOBERGS LÄN</t>
        </is>
      </c>
      <c r="E314" t="inlineStr">
        <is>
          <t>VÄXJÖ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52564-2023</t>
        </is>
      </c>
      <c r="B315" s="1" t="n">
        <v>45225.5787037037</v>
      </c>
      <c r="C315" s="1" t="n">
        <v>46083</v>
      </c>
      <c r="D315" t="inlineStr">
        <is>
          <t>KRONOBERGS LÄN</t>
        </is>
      </c>
      <c r="E315" t="inlineStr">
        <is>
          <t>VÄXJÖ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57374-2022</t>
        </is>
      </c>
      <c r="B316" s="1" t="n">
        <v>44896</v>
      </c>
      <c r="C316" s="1" t="n">
        <v>46083</v>
      </c>
      <c r="D316" t="inlineStr">
        <is>
          <t>KRONOBERGS LÄN</t>
        </is>
      </c>
      <c r="E316" t="inlineStr">
        <is>
          <t>VÄXJÖ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26072-2025</t>
        </is>
      </c>
      <c r="B317" s="1" t="n">
        <v>45805</v>
      </c>
      <c r="C317" s="1" t="n">
        <v>46083</v>
      </c>
      <c r="D317" t="inlineStr">
        <is>
          <t>KRONOBERGS LÄN</t>
        </is>
      </c>
      <c r="E317" t="inlineStr">
        <is>
          <t>VÄXJÖ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33204-2023</t>
        </is>
      </c>
      <c r="B318" s="1" t="n">
        <v>45127.42803240741</v>
      </c>
      <c r="C318" s="1" t="n">
        <v>46083</v>
      </c>
      <c r="D318" t="inlineStr">
        <is>
          <t>KRONOBERGS LÄN</t>
        </is>
      </c>
      <c r="E318" t="inlineStr">
        <is>
          <t>VÄXJÖ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41019-2024</t>
        </is>
      </c>
      <c r="B319" s="1" t="n">
        <v>45559.33650462963</v>
      </c>
      <c r="C319" s="1" t="n">
        <v>46083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18699-2025</t>
        </is>
      </c>
      <c r="B320" s="1" t="n">
        <v>45763.61952546296</v>
      </c>
      <c r="C320" s="1" t="n">
        <v>46083</v>
      </c>
      <c r="D320" t="inlineStr">
        <is>
          <t>KRONOBERGS LÄN</t>
        </is>
      </c>
      <c r="E320" t="inlineStr">
        <is>
          <t>VÄXJÖ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26848-2025</t>
        </is>
      </c>
      <c r="B321" s="1" t="n">
        <v>45810.66587962963</v>
      </c>
      <c r="C321" s="1" t="n">
        <v>46083</v>
      </c>
      <c r="D321" t="inlineStr">
        <is>
          <t>KRONOBERGS LÄN</t>
        </is>
      </c>
      <c r="E321" t="inlineStr">
        <is>
          <t>VÄXJÖ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69752-2021</t>
        </is>
      </c>
      <c r="B322" s="1" t="n">
        <v>44532</v>
      </c>
      <c r="C322" s="1" t="n">
        <v>46083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22520-2024</t>
        </is>
      </c>
      <c r="B323" s="1" t="n">
        <v>45447.41306712963</v>
      </c>
      <c r="C323" s="1" t="n">
        <v>46083</v>
      </c>
      <c r="D323" t="inlineStr">
        <is>
          <t>KRONOBERGS LÄN</t>
        </is>
      </c>
      <c r="E323" t="inlineStr">
        <is>
          <t>VÄXJÖ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39048-2025</t>
        </is>
      </c>
      <c r="B324" s="1" t="n">
        <v>45888.44400462963</v>
      </c>
      <c r="C324" s="1" t="n">
        <v>46083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26844-2025</t>
        </is>
      </c>
      <c r="B325" s="1" t="n">
        <v>45810.66274305555</v>
      </c>
      <c r="C325" s="1" t="n">
        <v>46083</v>
      </c>
      <c r="D325" t="inlineStr">
        <is>
          <t>KRONOBERGS LÄN</t>
        </is>
      </c>
      <c r="E325" t="inlineStr">
        <is>
          <t>VÄXJÖ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13682-2024</t>
        </is>
      </c>
      <c r="B326" s="1" t="n">
        <v>45390.55701388889</v>
      </c>
      <c r="C326" s="1" t="n">
        <v>46083</v>
      </c>
      <c r="D326" t="inlineStr">
        <is>
          <t>KRONOBERGS LÄN</t>
        </is>
      </c>
      <c r="E326" t="inlineStr">
        <is>
          <t>VÄXJÖ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26762-2025</t>
        </is>
      </c>
      <c r="B327" s="1" t="n">
        <v>45810.56395833333</v>
      </c>
      <c r="C327" s="1" t="n">
        <v>46083</v>
      </c>
      <c r="D327" t="inlineStr">
        <is>
          <t>KRONOBERGS LÄN</t>
        </is>
      </c>
      <c r="E327" t="inlineStr">
        <is>
          <t>VÄXJÖ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39056-2025</t>
        </is>
      </c>
      <c r="B328" s="1" t="n">
        <v>45888.45409722222</v>
      </c>
      <c r="C328" s="1" t="n">
        <v>46083</v>
      </c>
      <c r="D328" t="inlineStr">
        <is>
          <t>KRONOBERGS LÄN</t>
        </is>
      </c>
      <c r="E328" t="inlineStr">
        <is>
          <t>VÄXJÖ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9355-2024</t>
        </is>
      </c>
      <c r="B329" s="1" t="n">
        <v>45359.32324074074</v>
      </c>
      <c r="C329" s="1" t="n">
        <v>46083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16756-2025</t>
        </is>
      </c>
      <c r="B330" s="1" t="n">
        <v>45754.5728125</v>
      </c>
      <c r="C330" s="1" t="n">
        <v>46083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5477-2022</t>
        </is>
      </c>
      <c r="B331" s="1" t="n">
        <v>44595</v>
      </c>
      <c r="C331" s="1" t="n">
        <v>46083</v>
      </c>
      <c r="D331" t="inlineStr">
        <is>
          <t>KRONOBERGS LÄN</t>
        </is>
      </c>
      <c r="E331" t="inlineStr">
        <is>
          <t>VÄXJÖ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40494-2024</t>
        </is>
      </c>
      <c r="B332" s="1" t="n">
        <v>45555.56545138889</v>
      </c>
      <c r="C332" s="1" t="n">
        <v>46083</v>
      </c>
      <c r="D332" t="inlineStr">
        <is>
          <t>KRONOBERGS LÄN</t>
        </is>
      </c>
      <c r="E332" t="inlineStr">
        <is>
          <t>VÄXJÖ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40506-2024</t>
        </is>
      </c>
      <c r="B333" s="1" t="n">
        <v>45555.57487268518</v>
      </c>
      <c r="C333" s="1" t="n">
        <v>46083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25777-2024</t>
        </is>
      </c>
      <c r="B334" s="1" t="n">
        <v>45466.72841435186</v>
      </c>
      <c r="C334" s="1" t="n">
        <v>46083</v>
      </c>
      <c r="D334" t="inlineStr">
        <is>
          <t>KRONOBERGS LÄN</t>
        </is>
      </c>
      <c r="E334" t="inlineStr">
        <is>
          <t>VÄXJÖ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27266-2025</t>
        </is>
      </c>
      <c r="B335" s="1" t="n">
        <v>45812.48452546296</v>
      </c>
      <c r="C335" s="1" t="n">
        <v>46083</v>
      </c>
      <c r="D335" t="inlineStr">
        <is>
          <t>KRONOBERGS LÄN</t>
        </is>
      </c>
      <c r="E335" t="inlineStr">
        <is>
          <t>VÄXJÖ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38728-2025</t>
        </is>
      </c>
      <c r="B336" s="1" t="n">
        <v>45887.32653935185</v>
      </c>
      <c r="C336" s="1" t="n">
        <v>46083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60203-2022</t>
        </is>
      </c>
      <c r="B337" s="1" t="n">
        <v>44903</v>
      </c>
      <c r="C337" s="1" t="n">
        <v>46083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1813-2023</t>
        </is>
      </c>
      <c r="B338" s="1" t="n">
        <v>44938</v>
      </c>
      <c r="C338" s="1" t="n">
        <v>46083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39311-2025</t>
        </is>
      </c>
      <c r="B339" s="1" t="n">
        <v>45889</v>
      </c>
      <c r="C339" s="1" t="n">
        <v>46083</v>
      </c>
      <c r="D339" t="inlineStr">
        <is>
          <t>KRONOBERGS LÄN</t>
        </is>
      </c>
      <c r="E339" t="inlineStr">
        <is>
          <t>VÄXJÖ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17752-2025</t>
        </is>
      </c>
      <c r="B340" s="1" t="n">
        <v>45758.48525462963</v>
      </c>
      <c r="C340" s="1" t="n">
        <v>46083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39582-2025</t>
        </is>
      </c>
      <c r="B341" s="1" t="n">
        <v>45890.49473379629</v>
      </c>
      <c r="C341" s="1" t="n">
        <v>46083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14766-2023</t>
        </is>
      </c>
      <c r="B342" s="1" t="n">
        <v>45014.55976851852</v>
      </c>
      <c r="C342" s="1" t="n">
        <v>46083</v>
      </c>
      <c r="D342" t="inlineStr">
        <is>
          <t>KRONOBERGS LÄN</t>
        </is>
      </c>
      <c r="E342" t="inlineStr">
        <is>
          <t>VÄXJÖ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72857-2021</t>
        </is>
      </c>
      <c r="B343" s="1" t="n">
        <v>44547</v>
      </c>
      <c r="C343" s="1" t="n">
        <v>46083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17055-2024</t>
        </is>
      </c>
      <c r="B344" s="1" t="n">
        <v>45412.44925925926</v>
      </c>
      <c r="C344" s="1" t="n">
        <v>46083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17060-2024</t>
        </is>
      </c>
      <c r="B345" s="1" t="n">
        <v>45412.45357638889</v>
      </c>
      <c r="C345" s="1" t="n">
        <v>46083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28171-2025</t>
        </is>
      </c>
      <c r="B346" s="1" t="n">
        <v>45818</v>
      </c>
      <c r="C346" s="1" t="n">
        <v>46083</v>
      </c>
      <c r="D346" t="inlineStr">
        <is>
          <t>KRONOBERGS LÄN</t>
        </is>
      </c>
      <c r="E346" t="inlineStr">
        <is>
          <t>VÄXJÖ</t>
        </is>
      </c>
      <c r="G346" t="n">
        <v>19.3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4819-2025</t>
        </is>
      </c>
      <c r="B347" s="1" t="n">
        <v>45688.62399305555</v>
      </c>
      <c r="C347" s="1" t="n">
        <v>46083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34636-2023</t>
        </is>
      </c>
      <c r="B348" s="1" t="n">
        <v>45140.6528125</v>
      </c>
      <c r="C348" s="1" t="n">
        <v>46083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61844-2024</t>
        </is>
      </c>
      <c r="B349" s="1" t="n">
        <v>45649.6471875</v>
      </c>
      <c r="C349" s="1" t="n">
        <v>46083</v>
      </c>
      <c r="D349" t="inlineStr">
        <is>
          <t>KRONOBERGS LÄN</t>
        </is>
      </c>
      <c r="E349" t="inlineStr">
        <is>
          <t>VÄXJÖ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39689-2024</t>
        </is>
      </c>
      <c r="B350" s="1" t="n">
        <v>45552.57313657407</v>
      </c>
      <c r="C350" s="1" t="n">
        <v>46083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18364-2025</t>
        </is>
      </c>
      <c r="B351" s="1" t="n">
        <v>45762</v>
      </c>
      <c r="C351" s="1" t="n">
        <v>46083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17755-2025</t>
        </is>
      </c>
      <c r="B352" s="1" t="n">
        <v>45758.48863425926</v>
      </c>
      <c r="C352" s="1" t="n">
        <v>46083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17758-2025</t>
        </is>
      </c>
      <c r="B353" s="1" t="n">
        <v>45758.49101851852</v>
      </c>
      <c r="C353" s="1" t="n">
        <v>46083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40076-2025</t>
        </is>
      </c>
      <c r="B354" s="1" t="n">
        <v>45894.45380787037</v>
      </c>
      <c r="C354" s="1" t="n">
        <v>46083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28176-2025</t>
        </is>
      </c>
      <c r="B355" s="1" t="n">
        <v>45818</v>
      </c>
      <c r="C355" s="1" t="n">
        <v>46083</v>
      </c>
      <c r="D355" t="inlineStr">
        <is>
          <t>KRONOBERGS LÄN</t>
        </is>
      </c>
      <c r="E355" t="inlineStr">
        <is>
          <t>VÄXJÖ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12445-2024</t>
        </is>
      </c>
      <c r="B356" s="1" t="n">
        <v>45378</v>
      </c>
      <c r="C356" s="1" t="n">
        <v>46083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36267-2024</t>
        </is>
      </c>
      <c r="B357" s="1" t="n">
        <v>45534.56091435185</v>
      </c>
      <c r="C357" s="1" t="n">
        <v>46083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19349-2025</t>
        </is>
      </c>
      <c r="B358" s="1" t="n">
        <v>45769.6050462963</v>
      </c>
      <c r="C358" s="1" t="n">
        <v>46083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41482-2024</t>
        </is>
      </c>
      <c r="B359" s="1" t="n">
        <v>45560.44628472222</v>
      </c>
      <c r="C359" s="1" t="n">
        <v>46083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10795-2024</t>
        </is>
      </c>
      <c r="B360" s="1" t="n">
        <v>45369.61829861111</v>
      </c>
      <c r="C360" s="1" t="n">
        <v>46083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6133-2022</t>
        </is>
      </c>
      <c r="B361" s="1" t="n">
        <v>44599</v>
      </c>
      <c r="C361" s="1" t="n">
        <v>46083</v>
      </c>
      <c r="D361" t="inlineStr">
        <is>
          <t>KRONOBERGS LÄN</t>
        </is>
      </c>
      <c r="E361" t="inlineStr">
        <is>
          <t>VÄXJÖ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51472-2022</t>
        </is>
      </c>
      <c r="B362" s="1" t="n">
        <v>44869.55530092592</v>
      </c>
      <c r="C362" s="1" t="n">
        <v>46083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28904-2025</t>
        </is>
      </c>
      <c r="B363" s="1" t="n">
        <v>45820.64496527778</v>
      </c>
      <c r="C363" s="1" t="n">
        <v>46083</v>
      </c>
      <c r="D363" t="inlineStr">
        <is>
          <t>KRONOBERGS LÄN</t>
        </is>
      </c>
      <c r="E363" t="inlineStr">
        <is>
          <t>VÄXJÖ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6384-2024</t>
        </is>
      </c>
      <c r="B364" s="1" t="n">
        <v>45338.5585300926</v>
      </c>
      <c r="C364" s="1" t="n">
        <v>46083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40058-2025</t>
        </is>
      </c>
      <c r="B365" s="1" t="n">
        <v>45894.42326388889</v>
      </c>
      <c r="C365" s="1" t="n">
        <v>46083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56947-2023</t>
        </is>
      </c>
      <c r="B366" s="1" t="n">
        <v>45244</v>
      </c>
      <c r="C366" s="1" t="n">
        <v>46083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33075-2024</t>
        </is>
      </c>
      <c r="B367" s="1" t="n">
        <v>45517.66657407407</v>
      </c>
      <c r="C367" s="1" t="n">
        <v>46083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28641-2025</t>
        </is>
      </c>
      <c r="B368" s="1" t="n">
        <v>45819.63748842593</v>
      </c>
      <c r="C368" s="1" t="n">
        <v>46083</v>
      </c>
      <c r="D368" t="inlineStr">
        <is>
          <t>KRONOBERGS LÄN</t>
        </is>
      </c>
      <c r="E368" t="inlineStr">
        <is>
          <t>VÄXJÖ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28642-2025</t>
        </is>
      </c>
      <c r="B369" s="1" t="n">
        <v>45819.64385416666</v>
      </c>
      <c r="C369" s="1" t="n">
        <v>46083</v>
      </c>
      <c r="D369" t="inlineStr">
        <is>
          <t>KRONOBERGS LÄN</t>
        </is>
      </c>
      <c r="E369" t="inlineStr">
        <is>
          <t>VÄXJÖ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16655-2024</t>
        </is>
      </c>
      <c r="B370" s="1" t="n">
        <v>45408.63730324074</v>
      </c>
      <c r="C370" s="1" t="n">
        <v>46083</v>
      </c>
      <c r="D370" t="inlineStr">
        <is>
          <t>KRONOBERGS LÄN</t>
        </is>
      </c>
      <c r="E370" t="inlineStr">
        <is>
          <t>VÄXJÖ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28801-2025</t>
        </is>
      </c>
      <c r="B371" s="1" t="n">
        <v>45820.49263888889</v>
      </c>
      <c r="C371" s="1" t="n">
        <v>46083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18367-2025</t>
        </is>
      </c>
      <c r="B372" s="1" t="n">
        <v>45762</v>
      </c>
      <c r="C372" s="1" t="n">
        <v>46083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18374-2025</t>
        </is>
      </c>
      <c r="B373" s="1" t="n">
        <v>45762.57273148148</v>
      </c>
      <c r="C373" s="1" t="n">
        <v>46083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51659-2023</t>
        </is>
      </c>
      <c r="B374" s="1" t="n">
        <v>45222.56635416667</v>
      </c>
      <c r="C374" s="1" t="n">
        <v>46083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18379-2025</t>
        </is>
      </c>
      <c r="B375" s="1" t="n">
        <v>45762.57758101852</v>
      </c>
      <c r="C375" s="1" t="n">
        <v>46083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39712-2025</t>
        </is>
      </c>
      <c r="B376" s="1" t="n">
        <v>45890.86472222222</v>
      </c>
      <c r="C376" s="1" t="n">
        <v>46083</v>
      </c>
      <c r="D376" t="inlineStr">
        <is>
          <t>KRONOBERGS LÄN</t>
        </is>
      </c>
      <c r="E376" t="inlineStr">
        <is>
          <t>VÄXJÖ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21668-2025</t>
        </is>
      </c>
      <c r="B377" s="1" t="n">
        <v>45783.46728009259</v>
      </c>
      <c r="C377" s="1" t="n">
        <v>46083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28907-2025</t>
        </is>
      </c>
      <c r="B378" s="1" t="n">
        <v>45820.65064814815</v>
      </c>
      <c r="C378" s="1" t="n">
        <v>46083</v>
      </c>
      <c r="D378" t="inlineStr">
        <is>
          <t>KRONOBERGS LÄN</t>
        </is>
      </c>
      <c r="E378" t="inlineStr">
        <is>
          <t>VÄXJÖ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40069-2025</t>
        </is>
      </c>
      <c r="B379" s="1" t="n">
        <v>45894.43885416666</v>
      </c>
      <c r="C379" s="1" t="n">
        <v>46083</v>
      </c>
      <c r="D379" t="inlineStr">
        <is>
          <t>KRONOBERGS LÄN</t>
        </is>
      </c>
      <c r="E379" t="inlineStr">
        <is>
          <t>VÄXJÖ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28081-2025</t>
        </is>
      </c>
      <c r="B380" s="1" t="n">
        <v>45817.70034722222</v>
      </c>
      <c r="C380" s="1" t="n">
        <v>46083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40216-2023</t>
        </is>
      </c>
      <c r="B381" s="1" t="n">
        <v>45169.45532407407</v>
      </c>
      <c r="C381" s="1" t="n">
        <v>46083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46963-2024</t>
        </is>
      </c>
      <c r="B382" s="1" t="n">
        <v>45583</v>
      </c>
      <c r="C382" s="1" t="n">
        <v>46083</v>
      </c>
      <c r="D382" t="inlineStr">
        <is>
          <t>KRONOBERGS LÄN</t>
        </is>
      </c>
      <c r="E382" t="inlineStr">
        <is>
          <t>VÄXJÖ</t>
        </is>
      </c>
      <c r="F382" t="inlineStr">
        <is>
          <t>Kyrkan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28174-2025</t>
        </is>
      </c>
      <c r="B383" s="1" t="n">
        <v>45818</v>
      </c>
      <c r="C383" s="1" t="n">
        <v>46083</v>
      </c>
      <c r="D383" t="inlineStr">
        <is>
          <t>KRONOBERGS LÄN</t>
        </is>
      </c>
      <c r="E383" t="inlineStr">
        <is>
          <t>VÄXJÖ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28165-2025</t>
        </is>
      </c>
      <c r="B384" s="1" t="n">
        <v>45818</v>
      </c>
      <c r="C384" s="1" t="n">
        <v>46083</v>
      </c>
      <c r="D384" t="inlineStr">
        <is>
          <t>KRONOBERGS LÄN</t>
        </is>
      </c>
      <c r="E384" t="inlineStr">
        <is>
          <t>VÄXJÖ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13978-2024</t>
        </is>
      </c>
      <c r="B385" s="1" t="n">
        <v>45392.39776620371</v>
      </c>
      <c r="C385" s="1" t="n">
        <v>46083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16214-2022</t>
        </is>
      </c>
      <c r="B386" s="1" t="n">
        <v>44670</v>
      </c>
      <c r="C386" s="1" t="n">
        <v>46083</v>
      </c>
      <c r="D386" t="inlineStr">
        <is>
          <t>KRONOBERGS LÄN</t>
        </is>
      </c>
      <c r="E386" t="inlineStr">
        <is>
          <t>VÄXJÖ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29326-2025</t>
        </is>
      </c>
      <c r="B387" s="1" t="n">
        <v>45824.48297453704</v>
      </c>
      <c r="C387" s="1" t="n">
        <v>46083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40247-2025</t>
        </is>
      </c>
      <c r="B388" s="1" t="n">
        <v>45895.24849537037</v>
      </c>
      <c r="C388" s="1" t="n">
        <v>46083</v>
      </c>
      <c r="D388" t="inlineStr">
        <is>
          <t>KRONOBERGS LÄN</t>
        </is>
      </c>
      <c r="E388" t="inlineStr">
        <is>
          <t>VÄXJÖ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17934-2024</t>
        </is>
      </c>
      <c r="B389" s="1" t="n">
        <v>45419.61466435185</v>
      </c>
      <c r="C389" s="1" t="n">
        <v>46083</v>
      </c>
      <c r="D389" t="inlineStr">
        <is>
          <t>KRONOBERGS LÄN</t>
        </is>
      </c>
      <c r="E389" t="inlineStr">
        <is>
          <t>VÄXJÖ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35534-2025</t>
        </is>
      </c>
      <c r="B390" s="1" t="n">
        <v>45856.43934027778</v>
      </c>
      <c r="C390" s="1" t="n">
        <v>46083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29324-2025</t>
        </is>
      </c>
      <c r="B391" s="1" t="n">
        <v>45824.47944444444</v>
      </c>
      <c r="C391" s="1" t="n">
        <v>46083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30129-2025</t>
        </is>
      </c>
      <c r="B392" s="1" t="n">
        <v>45826</v>
      </c>
      <c r="C392" s="1" t="n">
        <v>46083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30130-2025</t>
        </is>
      </c>
      <c r="B393" s="1" t="n">
        <v>45826</v>
      </c>
      <c r="C393" s="1" t="n">
        <v>46083</v>
      </c>
      <c r="D393" t="inlineStr">
        <is>
          <t>KRONOBERGS LÄN</t>
        </is>
      </c>
      <c r="E393" t="inlineStr">
        <is>
          <t>VÄXJÖ</t>
        </is>
      </c>
      <c r="F393" t="inlineStr">
        <is>
          <t>Kyrkan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30132-2025</t>
        </is>
      </c>
      <c r="B394" s="1" t="n">
        <v>45826</v>
      </c>
      <c r="C394" s="1" t="n">
        <v>46083</v>
      </c>
      <c r="D394" t="inlineStr">
        <is>
          <t>KRONOBERGS LÄN</t>
        </is>
      </c>
      <c r="E394" t="inlineStr">
        <is>
          <t>VÄXJÖ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40317-2025</t>
        </is>
      </c>
      <c r="B395" s="1" t="n">
        <v>45895.43204861111</v>
      </c>
      <c r="C395" s="1" t="n">
        <v>46083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30127-2025</t>
        </is>
      </c>
      <c r="B396" s="1" t="n">
        <v>45826</v>
      </c>
      <c r="C396" s="1" t="n">
        <v>46083</v>
      </c>
      <c r="D396" t="inlineStr">
        <is>
          <t>KRONOBERGS LÄN</t>
        </is>
      </c>
      <c r="E396" t="inlineStr">
        <is>
          <t>VÄXJÖ</t>
        </is>
      </c>
      <c r="F396" t="inlineStr">
        <is>
          <t>Kyrkan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30128-2025</t>
        </is>
      </c>
      <c r="B397" s="1" t="n">
        <v>45826</v>
      </c>
      <c r="C397" s="1" t="n">
        <v>46083</v>
      </c>
      <c r="D397" t="inlineStr">
        <is>
          <t>KRONOBERGS LÄN</t>
        </is>
      </c>
      <c r="E397" t="inlineStr">
        <is>
          <t>VÄXJÖ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40526-2025</t>
        </is>
      </c>
      <c r="B398" s="1" t="n">
        <v>45896.37341435185</v>
      </c>
      <c r="C398" s="1" t="n">
        <v>46083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29582-2025</t>
        </is>
      </c>
      <c r="B399" s="1" t="n">
        <v>45825.38452546296</v>
      </c>
      <c r="C399" s="1" t="n">
        <v>46083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40558-2025</t>
        </is>
      </c>
      <c r="B400" s="1" t="n">
        <v>45896.45018518518</v>
      </c>
      <c r="C400" s="1" t="n">
        <v>46083</v>
      </c>
      <c r="D400" t="inlineStr">
        <is>
          <t>KRONOBERGS LÄN</t>
        </is>
      </c>
      <c r="E400" t="inlineStr">
        <is>
          <t>VÄXJÖ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40875-2025</t>
        </is>
      </c>
      <c r="B401" s="1" t="n">
        <v>45897.57736111111</v>
      </c>
      <c r="C401" s="1" t="n">
        <v>46083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29799-2025</t>
        </is>
      </c>
      <c r="B402" s="1" t="n">
        <v>45825.69231481481</v>
      </c>
      <c r="C402" s="1" t="n">
        <v>46083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22058-2022</t>
        </is>
      </c>
      <c r="B403" s="1" t="n">
        <v>44711.68930555556</v>
      </c>
      <c r="C403" s="1" t="n">
        <v>46083</v>
      </c>
      <c r="D403" t="inlineStr">
        <is>
          <t>KRONOBERGS LÄN</t>
        </is>
      </c>
      <c r="E403" t="inlineStr">
        <is>
          <t>VÄXJÖ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22668-2023</t>
        </is>
      </c>
      <c r="B404" s="1" t="n">
        <v>45071</v>
      </c>
      <c r="C404" s="1" t="n">
        <v>46083</v>
      </c>
      <c r="D404" t="inlineStr">
        <is>
          <t>KRONOBERGS LÄN</t>
        </is>
      </c>
      <c r="E404" t="inlineStr">
        <is>
          <t>VÄXJÖ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41279-2025</t>
        </is>
      </c>
      <c r="B405" s="1" t="n">
        <v>45898.63071759259</v>
      </c>
      <c r="C405" s="1" t="n">
        <v>46083</v>
      </c>
      <c r="D405" t="inlineStr">
        <is>
          <t>KRONOBERGS LÄN</t>
        </is>
      </c>
      <c r="E405" t="inlineStr">
        <is>
          <t>VÄXJÖ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46742-2024</t>
        </is>
      </c>
      <c r="B406" s="1" t="n">
        <v>45583.47736111111</v>
      </c>
      <c r="C406" s="1" t="n">
        <v>46083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30367-2025</t>
        </is>
      </c>
      <c r="B407" s="1" t="n">
        <v>45827.5565162037</v>
      </c>
      <c r="C407" s="1" t="n">
        <v>46083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17470-2025</t>
        </is>
      </c>
      <c r="B408" s="1" t="n">
        <v>45757.4737037037</v>
      </c>
      <c r="C408" s="1" t="n">
        <v>46083</v>
      </c>
      <c r="D408" t="inlineStr">
        <is>
          <t>KRONOBERGS LÄN</t>
        </is>
      </c>
      <c r="E408" t="inlineStr">
        <is>
          <t>VÄXJÖ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12845-2024</t>
        </is>
      </c>
      <c r="B409" s="1" t="n">
        <v>45384.80710648148</v>
      </c>
      <c r="C409" s="1" t="n">
        <v>46083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7304-2024</t>
        </is>
      </c>
      <c r="B410" s="1" t="n">
        <v>45345.30666666666</v>
      </c>
      <c r="C410" s="1" t="n">
        <v>46083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61187-2024</t>
        </is>
      </c>
      <c r="B411" s="1" t="n">
        <v>45645.62145833333</v>
      </c>
      <c r="C411" s="1" t="n">
        <v>46083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10061-2025</t>
        </is>
      </c>
      <c r="B412" s="1" t="n">
        <v>45719.53642361111</v>
      </c>
      <c r="C412" s="1" t="n">
        <v>46083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30374-2025</t>
        </is>
      </c>
      <c r="B413" s="1" t="n">
        <v>45827.56438657407</v>
      </c>
      <c r="C413" s="1" t="n">
        <v>46083</v>
      </c>
      <c r="D413" t="inlineStr">
        <is>
          <t>KRONOBERGS LÄN</t>
        </is>
      </c>
      <c r="E413" t="inlineStr">
        <is>
          <t>VÄXJÖ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37899-2024</t>
        </is>
      </c>
      <c r="B414" s="1" t="n">
        <v>45544</v>
      </c>
      <c r="C414" s="1" t="n">
        <v>46083</v>
      </c>
      <c r="D414" t="inlineStr">
        <is>
          <t>KRONOBERGS LÄN</t>
        </is>
      </c>
      <c r="E414" t="inlineStr">
        <is>
          <t>VÄXJÖ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41817-2025</t>
        </is>
      </c>
      <c r="B415" s="1" t="n">
        <v>45902</v>
      </c>
      <c r="C415" s="1" t="n">
        <v>46083</v>
      </c>
      <c r="D415" t="inlineStr">
        <is>
          <t>KRONOBERGS LÄN</t>
        </is>
      </c>
      <c r="E415" t="inlineStr">
        <is>
          <t>VÄXJÖ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41822-2025</t>
        </is>
      </c>
      <c r="B416" s="1" t="n">
        <v>45902.6637962963</v>
      </c>
      <c r="C416" s="1" t="n">
        <v>46083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45624-2024</t>
        </is>
      </c>
      <c r="B417" s="1" t="n">
        <v>45579.46674768518</v>
      </c>
      <c r="C417" s="1" t="n">
        <v>46083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43878-2024</t>
        </is>
      </c>
      <c r="B418" s="1" t="n">
        <v>45572.38957175926</v>
      </c>
      <c r="C418" s="1" t="n">
        <v>46083</v>
      </c>
      <c r="D418" t="inlineStr">
        <is>
          <t>KRONOBERGS LÄN</t>
        </is>
      </c>
      <c r="E418" t="inlineStr">
        <is>
          <t>VÄXJÖ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7251-2023</t>
        </is>
      </c>
      <c r="B419" s="1" t="n">
        <v>44970.630625</v>
      </c>
      <c r="C419" s="1" t="n">
        <v>46083</v>
      </c>
      <c r="D419" t="inlineStr">
        <is>
          <t>KRONOBERGS LÄN</t>
        </is>
      </c>
      <c r="E419" t="inlineStr">
        <is>
          <t>VÄXJÖ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30321-2025</t>
        </is>
      </c>
      <c r="B420" s="1" t="n">
        <v>45827</v>
      </c>
      <c r="C420" s="1" t="n">
        <v>46083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30861-2025</t>
        </is>
      </c>
      <c r="B421" s="1" t="n">
        <v>45832.00253472223</v>
      </c>
      <c r="C421" s="1" t="n">
        <v>46083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41823-2025</t>
        </is>
      </c>
      <c r="B422" s="1" t="n">
        <v>45902</v>
      </c>
      <c r="C422" s="1" t="n">
        <v>46083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49089-2024</t>
        </is>
      </c>
      <c r="B423" s="1" t="n">
        <v>45594.63467592592</v>
      </c>
      <c r="C423" s="1" t="n">
        <v>46083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30643-2025</t>
        </is>
      </c>
      <c r="B424" s="1" t="n">
        <v>45831.4883912037</v>
      </c>
      <c r="C424" s="1" t="n">
        <v>46083</v>
      </c>
      <c r="D424" t="inlineStr">
        <is>
          <t>KRONOBERGS LÄN</t>
        </is>
      </c>
      <c r="E424" t="inlineStr">
        <is>
          <t>VÄXJÖ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41824-2025</t>
        </is>
      </c>
      <c r="B425" s="1" t="n">
        <v>45902.66581018519</v>
      </c>
      <c r="C425" s="1" t="n">
        <v>46083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26801-2025</t>
        </is>
      </c>
      <c r="B426" s="1" t="n">
        <v>45810.60581018519</v>
      </c>
      <c r="C426" s="1" t="n">
        <v>46083</v>
      </c>
      <c r="D426" t="inlineStr">
        <is>
          <t>KRONOBERGS LÄN</t>
        </is>
      </c>
      <c r="E426" t="inlineStr">
        <is>
          <t>VÄXJÖ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32005-2025</t>
        </is>
      </c>
      <c r="B427" s="1" t="n">
        <v>45835.38336805555</v>
      </c>
      <c r="C427" s="1" t="n">
        <v>46083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22684-2025</t>
        </is>
      </c>
      <c r="B428" s="1" t="n">
        <v>45789.51069444444</v>
      </c>
      <c r="C428" s="1" t="n">
        <v>46083</v>
      </c>
      <c r="D428" t="inlineStr">
        <is>
          <t>KRONOBERGS LÄN</t>
        </is>
      </c>
      <c r="E428" t="inlineStr">
        <is>
          <t>VÄXJÖ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30627-2025</t>
        </is>
      </c>
      <c r="B429" s="1" t="n">
        <v>45831.47402777777</v>
      </c>
      <c r="C429" s="1" t="n">
        <v>46083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30683-2025</t>
        </is>
      </c>
      <c r="B430" s="1" t="n">
        <v>45831.53054398148</v>
      </c>
      <c r="C430" s="1" t="n">
        <v>46083</v>
      </c>
      <c r="D430" t="inlineStr">
        <is>
          <t>KRONOBERGS LÄN</t>
        </is>
      </c>
      <c r="E430" t="inlineStr">
        <is>
          <t>VÄXJÖ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42374-2025</t>
        </is>
      </c>
      <c r="B431" s="1" t="n">
        <v>45905.33540509259</v>
      </c>
      <c r="C431" s="1" t="n">
        <v>46083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31318-2025</t>
        </is>
      </c>
      <c r="B432" s="1" t="n">
        <v>45833.40297453704</v>
      </c>
      <c r="C432" s="1" t="n">
        <v>46083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18996-2025</t>
        </is>
      </c>
      <c r="B433" s="1" t="n">
        <v>45764.57550925926</v>
      </c>
      <c r="C433" s="1" t="n">
        <v>46083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19006-2025</t>
        </is>
      </c>
      <c r="B434" s="1" t="n">
        <v>45764</v>
      </c>
      <c r="C434" s="1" t="n">
        <v>46083</v>
      </c>
      <c r="D434" t="inlineStr">
        <is>
          <t>KRONOBERGS LÄN</t>
        </is>
      </c>
      <c r="E434" t="inlineStr">
        <is>
          <t>VÄXJÖ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31315-2025</t>
        </is>
      </c>
      <c r="B435" s="1" t="n">
        <v>45833.39936342592</v>
      </c>
      <c r="C435" s="1" t="n">
        <v>46083</v>
      </c>
      <c r="D435" t="inlineStr">
        <is>
          <t>KRONOBERGS LÄN</t>
        </is>
      </c>
      <c r="E435" t="inlineStr">
        <is>
          <t>VÄXJÖ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26068-2025</t>
        </is>
      </c>
      <c r="B436" s="1" t="n">
        <v>45805</v>
      </c>
      <c r="C436" s="1" t="n">
        <v>46083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44661-2023</t>
        </is>
      </c>
      <c r="B437" s="1" t="n">
        <v>45189.70568287037</v>
      </c>
      <c r="C437" s="1" t="n">
        <v>46083</v>
      </c>
      <c r="D437" t="inlineStr">
        <is>
          <t>KRONOBERGS LÄN</t>
        </is>
      </c>
      <c r="E437" t="inlineStr">
        <is>
          <t>VÄXJÖ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44663-2023</t>
        </is>
      </c>
      <c r="B438" s="1" t="n">
        <v>45189.71008101852</v>
      </c>
      <c r="C438" s="1" t="n">
        <v>46083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31243-2025</t>
        </is>
      </c>
      <c r="B439" s="1" t="n">
        <v>45832.87528935185</v>
      </c>
      <c r="C439" s="1" t="n">
        <v>46083</v>
      </c>
      <c r="D439" t="inlineStr">
        <is>
          <t>KRONOBERGS LÄN</t>
        </is>
      </c>
      <c r="E439" t="inlineStr">
        <is>
          <t>VÄXJÖ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42537-2025</t>
        </is>
      </c>
      <c r="B440" s="1" t="n">
        <v>45905.56949074074</v>
      </c>
      <c r="C440" s="1" t="n">
        <v>46083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10929-2025</t>
        </is>
      </c>
      <c r="B441" s="1" t="n">
        <v>45722.95646990741</v>
      </c>
      <c r="C441" s="1" t="n">
        <v>46083</v>
      </c>
      <c r="D441" t="inlineStr">
        <is>
          <t>KRONOBERGS LÄN</t>
        </is>
      </c>
      <c r="E441" t="inlineStr">
        <is>
          <t>VÄXJÖ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31999-2025</t>
        </is>
      </c>
      <c r="B442" s="1" t="n">
        <v>45835.37766203703</v>
      </c>
      <c r="C442" s="1" t="n">
        <v>46083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5762-2023</t>
        </is>
      </c>
      <c r="B443" s="1" t="n">
        <v>44963</v>
      </c>
      <c r="C443" s="1" t="n">
        <v>46083</v>
      </c>
      <c r="D443" t="inlineStr">
        <is>
          <t>KRONOBERGS LÄN</t>
        </is>
      </c>
      <c r="E443" t="inlineStr">
        <is>
          <t>VÄXJÖ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10804-2021</t>
        </is>
      </c>
      <c r="B444" s="1" t="n">
        <v>44259.48413194445</v>
      </c>
      <c r="C444" s="1" t="n">
        <v>46083</v>
      </c>
      <c r="D444" t="inlineStr">
        <is>
          <t>KRONOBERGS LÄN</t>
        </is>
      </c>
      <c r="E444" t="inlineStr">
        <is>
          <t>VÄXJÖ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25626-2024</t>
        </is>
      </c>
      <c r="B445" s="1" t="n">
        <v>45463.64552083334</v>
      </c>
      <c r="C445" s="1" t="n">
        <v>46083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5629-2023</t>
        </is>
      </c>
      <c r="B446" s="1" t="n">
        <v>44960.58287037037</v>
      </c>
      <c r="C446" s="1" t="n">
        <v>46083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48996-2024</t>
        </is>
      </c>
      <c r="B447" s="1" t="n">
        <v>45594.49064814814</v>
      </c>
      <c r="C447" s="1" t="n">
        <v>46083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49002-2024</t>
        </is>
      </c>
      <c r="B448" s="1" t="n">
        <v>45594.49494212963</v>
      </c>
      <c r="C448" s="1" t="n">
        <v>46083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49004-2024</t>
        </is>
      </c>
      <c r="B449" s="1" t="n">
        <v>45594.49597222222</v>
      </c>
      <c r="C449" s="1" t="n">
        <v>46083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49007-2024</t>
        </is>
      </c>
      <c r="B450" s="1" t="n">
        <v>45594.49865740741</v>
      </c>
      <c r="C450" s="1" t="n">
        <v>46083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49017-2024</t>
        </is>
      </c>
      <c r="B451" s="1" t="n">
        <v>45594.50804398148</v>
      </c>
      <c r="C451" s="1" t="n">
        <v>46083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49021-2024</t>
        </is>
      </c>
      <c r="B452" s="1" t="n">
        <v>45594.5128587963</v>
      </c>
      <c r="C452" s="1" t="n">
        <v>46083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49022-2024</t>
        </is>
      </c>
      <c r="B453" s="1" t="n">
        <v>45594.51395833334</v>
      </c>
      <c r="C453" s="1" t="n">
        <v>46083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49025-2024</t>
        </is>
      </c>
      <c r="B454" s="1" t="n">
        <v>45594.51512731481</v>
      </c>
      <c r="C454" s="1" t="n">
        <v>46083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47275-2024</t>
        </is>
      </c>
      <c r="B455" s="1" t="n">
        <v>45586.89740740741</v>
      </c>
      <c r="C455" s="1" t="n">
        <v>46083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42367-2025</t>
        </is>
      </c>
      <c r="B456" s="1" t="n">
        <v>45905.32910879629</v>
      </c>
      <c r="C456" s="1" t="n">
        <v>46083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32000-2025</t>
        </is>
      </c>
      <c r="B457" s="1" t="n">
        <v>45835.37918981481</v>
      </c>
      <c r="C457" s="1" t="n">
        <v>46083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32007-2025</t>
        </is>
      </c>
      <c r="B458" s="1" t="n">
        <v>45835.3862962963</v>
      </c>
      <c r="C458" s="1" t="n">
        <v>46083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32080-2025</t>
        </is>
      </c>
      <c r="B459" s="1" t="n">
        <v>45835.45200231481</v>
      </c>
      <c r="C459" s="1" t="n">
        <v>46083</v>
      </c>
      <c r="D459" t="inlineStr">
        <is>
          <t>KRONOBERGS LÄN</t>
        </is>
      </c>
      <c r="E459" t="inlineStr">
        <is>
          <t>VÄXJÖ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32078-2025</t>
        </is>
      </c>
      <c r="B460" s="1" t="n">
        <v>45835.45113425926</v>
      </c>
      <c r="C460" s="1" t="n">
        <v>46083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64685-2023</t>
        </is>
      </c>
      <c r="B461" s="1" t="n">
        <v>45281.62967592593</v>
      </c>
      <c r="C461" s="1" t="n">
        <v>46083</v>
      </c>
      <c r="D461" t="inlineStr">
        <is>
          <t>KRONOBERGS LÄN</t>
        </is>
      </c>
      <c r="E461" t="inlineStr">
        <is>
          <t>VÄXJÖ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43311-2025</t>
        </is>
      </c>
      <c r="B462" s="1" t="n">
        <v>45910.64783564815</v>
      </c>
      <c r="C462" s="1" t="n">
        <v>46083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43316-2025</t>
        </is>
      </c>
      <c r="B463" s="1" t="n">
        <v>45910.65425925926</v>
      </c>
      <c r="C463" s="1" t="n">
        <v>46083</v>
      </c>
      <c r="D463" t="inlineStr">
        <is>
          <t>KRONOBERGS LÄN</t>
        </is>
      </c>
      <c r="E463" t="inlineStr">
        <is>
          <t>VÄXJÖ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43293-2025</t>
        </is>
      </c>
      <c r="B464" s="1" t="n">
        <v>45910.62164351852</v>
      </c>
      <c r="C464" s="1" t="n">
        <v>46083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32868-2025</t>
        </is>
      </c>
      <c r="B465" s="1" t="n">
        <v>45839</v>
      </c>
      <c r="C465" s="1" t="n">
        <v>46083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42296-2023</t>
        </is>
      </c>
      <c r="B466" s="1" t="n">
        <v>45180.44605324074</v>
      </c>
      <c r="C466" s="1" t="n">
        <v>46083</v>
      </c>
      <c r="D466" t="inlineStr">
        <is>
          <t>KRONOBERGS LÄN</t>
        </is>
      </c>
      <c r="E466" t="inlineStr">
        <is>
          <t>VÄXJÖ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9353-2025</t>
        </is>
      </c>
      <c r="B467" s="1" t="n">
        <v>45714.88269675926</v>
      </c>
      <c r="C467" s="1" t="n">
        <v>46083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1704-2025</t>
        </is>
      </c>
      <c r="B468" s="1" t="n">
        <v>45670</v>
      </c>
      <c r="C468" s="1" t="n">
        <v>46083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30666-2025</t>
        </is>
      </c>
      <c r="B469" s="1" t="n">
        <v>45831.51474537037</v>
      </c>
      <c r="C469" s="1" t="n">
        <v>46083</v>
      </c>
      <c r="D469" t="inlineStr">
        <is>
          <t>KRONOBERGS LÄN</t>
        </is>
      </c>
      <c r="E469" t="inlineStr">
        <is>
          <t>VÄXJÖ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58180-2023</t>
        </is>
      </c>
      <c r="B470" s="1" t="n">
        <v>45250.40770833333</v>
      </c>
      <c r="C470" s="1" t="n">
        <v>46083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33066-2025</t>
        </is>
      </c>
      <c r="B471" s="1" t="n">
        <v>45840.44729166666</v>
      </c>
      <c r="C471" s="1" t="n">
        <v>46083</v>
      </c>
      <c r="D471" t="inlineStr">
        <is>
          <t>KRONOBERGS LÄN</t>
        </is>
      </c>
      <c r="E471" t="inlineStr">
        <is>
          <t>VÄXJÖ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30599-2025</t>
        </is>
      </c>
      <c r="B472" s="1" t="n">
        <v>45831</v>
      </c>
      <c r="C472" s="1" t="n">
        <v>46083</v>
      </c>
      <c r="D472" t="inlineStr">
        <is>
          <t>KRONOBERGS LÄN</t>
        </is>
      </c>
      <c r="E472" t="inlineStr">
        <is>
          <t>VÄXJÖ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57188-2024</t>
        </is>
      </c>
      <c r="B473" s="1" t="n">
        <v>45629.45599537037</v>
      </c>
      <c r="C473" s="1" t="n">
        <v>46083</v>
      </c>
      <c r="D473" t="inlineStr">
        <is>
          <t>KRONOBERGS LÄN</t>
        </is>
      </c>
      <c r="E473" t="inlineStr">
        <is>
          <t>VÄXJÖ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4646-2024</t>
        </is>
      </c>
      <c r="B474" s="1" t="n">
        <v>45328</v>
      </c>
      <c r="C474" s="1" t="n">
        <v>46083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4653-2024</t>
        </is>
      </c>
      <c r="B475" s="1" t="n">
        <v>45328</v>
      </c>
      <c r="C475" s="1" t="n">
        <v>46083</v>
      </c>
      <c r="D475" t="inlineStr">
        <is>
          <t>KRONOBERGS LÄN</t>
        </is>
      </c>
      <c r="E475" t="inlineStr">
        <is>
          <t>VÄXJÖ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59873-2021</t>
        </is>
      </c>
      <c r="B476" s="1" t="n">
        <v>44494.60379629629</v>
      </c>
      <c r="C476" s="1" t="n">
        <v>46083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59368-2024</t>
        </is>
      </c>
      <c r="B477" s="1" t="n">
        <v>45638.33728009259</v>
      </c>
      <c r="C477" s="1" t="n">
        <v>46083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42946-2025</t>
        </is>
      </c>
      <c r="B478" s="1" t="n">
        <v>45909.34719907407</v>
      </c>
      <c r="C478" s="1" t="n">
        <v>46083</v>
      </c>
      <c r="D478" t="inlineStr">
        <is>
          <t>KRONOBERGS LÄN</t>
        </is>
      </c>
      <c r="E478" t="inlineStr">
        <is>
          <t>VÄXJÖ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43451-2025</t>
        </is>
      </c>
      <c r="B479" s="1" t="n">
        <v>45911.45743055556</v>
      </c>
      <c r="C479" s="1" t="n">
        <v>46083</v>
      </c>
      <c r="D479" t="inlineStr">
        <is>
          <t>KRONOBERGS LÄN</t>
        </is>
      </c>
      <c r="E479" t="inlineStr">
        <is>
          <t>VÄXJÖ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37375-2024</t>
        </is>
      </c>
      <c r="B480" s="1" t="n">
        <v>45540</v>
      </c>
      <c r="C480" s="1" t="n">
        <v>46083</v>
      </c>
      <c r="D480" t="inlineStr">
        <is>
          <t>KRONOBERGS LÄN</t>
        </is>
      </c>
      <c r="E480" t="inlineStr">
        <is>
          <t>VÄXJÖ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53196-2024</t>
        </is>
      </c>
      <c r="B481" s="1" t="n">
        <v>45611.95675925926</v>
      </c>
      <c r="C481" s="1" t="n">
        <v>46083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34611-2025</t>
        </is>
      </c>
      <c r="B482" s="1" t="n">
        <v>45846</v>
      </c>
      <c r="C482" s="1" t="n">
        <v>46083</v>
      </c>
      <c r="D482" t="inlineStr">
        <is>
          <t>KRONOBERGS LÄN</t>
        </is>
      </c>
      <c r="E482" t="inlineStr">
        <is>
          <t>VÄXJÖ</t>
        </is>
      </c>
      <c r="F482" t="inlineStr">
        <is>
          <t>Kyrkan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34348-2025</t>
        </is>
      </c>
      <c r="B483" s="1" t="n">
        <v>45846</v>
      </c>
      <c r="C483" s="1" t="n">
        <v>46083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34354-2025</t>
        </is>
      </c>
      <c r="B484" s="1" t="n">
        <v>45846.47775462963</v>
      </c>
      <c r="C484" s="1" t="n">
        <v>46083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27675-2022</t>
        </is>
      </c>
      <c r="B485" s="1" t="n">
        <v>44743</v>
      </c>
      <c r="C485" s="1" t="n">
        <v>46083</v>
      </c>
      <c r="D485" t="inlineStr">
        <is>
          <t>KRONOBERGS LÄN</t>
        </is>
      </c>
      <c r="E485" t="inlineStr">
        <is>
          <t>VÄXJÖ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21872-2022</t>
        </is>
      </c>
      <c r="B486" s="1" t="n">
        <v>44711.39636574074</v>
      </c>
      <c r="C486" s="1" t="n">
        <v>46083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34345-2025</t>
        </is>
      </c>
      <c r="B487" s="1" t="n">
        <v>45846</v>
      </c>
      <c r="C487" s="1" t="n">
        <v>46083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34357-2025</t>
        </is>
      </c>
      <c r="B488" s="1" t="n">
        <v>45846.4825462963</v>
      </c>
      <c r="C488" s="1" t="n">
        <v>46083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53844-2023</t>
        </is>
      </c>
      <c r="B489" s="1" t="n">
        <v>45224</v>
      </c>
      <c r="C489" s="1" t="n">
        <v>46083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6487-2023</t>
        </is>
      </c>
      <c r="B490" s="1" t="n">
        <v>44966.305</v>
      </c>
      <c r="C490" s="1" t="n">
        <v>46083</v>
      </c>
      <c r="D490" t="inlineStr">
        <is>
          <t>KRONOBERGS LÄN</t>
        </is>
      </c>
      <c r="E490" t="inlineStr">
        <is>
          <t>VÄXJÖ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25461-2023</t>
        </is>
      </c>
      <c r="B491" s="1" t="n">
        <v>45089.44758101852</v>
      </c>
      <c r="C491" s="1" t="n">
        <v>46083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7677-2023</t>
        </is>
      </c>
      <c r="B492" s="1" t="n">
        <v>44972</v>
      </c>
      <c r="C492" s="1" t="n">
        <v>46083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7682-2023</t>
        </is>
      </c>
      <c r="B493" s="1" t="n">
        <v>44972.73002314815</v>
      </c>
      <c r="C493" s="1" t="n">
        <v>46083</v>
      </c>
      <c r="D493" t="inlineStr">
        <is>
          <t>KRONOBERGS LÄN</t>
        </is>
      </c>
      <c r="E493" t="inlineStr">
        <is>
          <t>VÄXJÖ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34335-2025</t>
        </is>
      </c>
      <c r="B494" s="1" t="n">
        <v>45846</v>
      </c>
      <c r="C494" s="1" t="n">
        <v>46083</v>
      </c>
      <c r="D494" t="inlineStr">
        <is>
          <t>KRONOBERGS LÄN</t>
        </is>
      </c>
      <c r="E494" t="inlineStr">
        <is>
          <t>VÄXJÖ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33340-2024</t>
        </is>
      </c>
      <c r="B495" s="1" t="n">
        <v>45519.33865740741</v>
      </c>
      <c r="C495" s="1" t="n">
        <v>46083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22533-2025</t>
        </is>
      </c>
      <c r="B496" s="1" t="n">
        <v>45787.28256944445</v>
      </c>
      <c r="C496" s="1" t="n">
        <v>46083</v>
      </c>
      <c r="D496" t="inlineStr">
        <is>
          <t>KRONOBERGS LÄN</t>
        </is>
      </c>
      <c r="E496" t="inlineStr">
        <is>
          <t>VÄXJÖ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7266-2025</t>
        </is>
      </c>
      <c r="B497" s="1" t="n">
        <v>45702.59452546296</v>
      </c>
      <c r="C497" s="1" t="n">
        <v>46083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43493-2025</t>
        </is>
      </c>
      <c r="B498" s="1" t="n">
        <v>45911.51697916666</v>
      </c>
      <c r="C498" s="1" t="n">
        <v>46083</v>
      </c>
      <c r="D498" t="inlineStr">
        <is>
          <t>KRONOBERGS LÄN</t>
        </is>
      </c>
      <c r="E498" t="inlineStr">
        <is>
          <t>VÄXJÖ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34549-2025</t>
        </is>
      </c>
      <c r="B499" s="1" t="n">
        <v>45847.5616087963</v>
      </c>
      <c r="C499" s="1" t="n">
        <v>46083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6934-2023</t>
        </is>
      </c>
      <c r="B500" s="1" t="n">
        <v>44967</v>
      </c>
      <c r="C500" s="1" t="n">
        <v>46083</v>
      </c>
      <c r="D500" t="inlineStr">
        <is>
          <t>KRONOBERGS LÄN</t>
        </is>
      </c>
      <c r="E500" t="inlineStr">
        <is>
          <t>VÄXJÖ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43640-2025</t>
        </is>
      </c>
      <c r="B501" s="1" t="n">
        <v>45911.7464699074</v>
      </c>
      <c r="C501" s="1" t="n">
        <v>46083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34548-2025</t>
        </is>
      </c>
      <c r="B502" s="1" t="n">
        <v>45847.56047453704</v>
      </c>
      <c r="C502" s="1" t="n">
        <v>46083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14365-2023</t>
        </is>
      </c>
      <c r="B503" s="1" t="n">
        <v>45012.4278587963</v>
      </c>
      <c r="C503" s="1" t="n">
        <v>46083</v>
      </c>
      <c r="D503" t="inlineStr">
        <is>
          <t>KRONOBERGS LÄN</t>
        </is>
      </c>
      <c r="E503" t="inlineStr">
        <is>
          <t>VÄXJÖ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44265-2025</t>
        </is>
      </c>
      <c r="B504" s="1" t="n">
        <v>45916.28979166667</v>
      </c>
      <c r="C504" s="1" t="n">
        <v>46083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9397-2023</t>
        </is>
      </c>
      <c r="B505" s="1" t="n">
        <v>44981</v>
      </c>
      <c r="C505" s="1" t="n">
        <v>46083</v>
      </c>
      <c r="D505" t="inlineStr">
        <is>
          <t>KRONOBERGS LÄN</t>
        </is>
      </c>
      <c r="E505" t="inlineStr">
        <is>
          <t>VÄXJÖ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43898-2025</t>
        </is>
      </c>
      <c r="B506" s="1" t="n">
        <v>45912.93515046296</v>
      </c>
      <c r="C506" s="1" t="n">
        <v>46083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13859-2024</t>
        </is>
      </c>
      <c r="B507" s="1" t="n">
        <v>45390</v>
      </c>
      <c r="C507" s="1" t="n">
        <v>46083</v>
      </c>
      <c r="D507" t="inlineStr">
        <is>
          <t>KRONOBERGS LÄN</t>
        </is>
      </c>
      <c r="E507" t="inlineStr">
        <is>
          <t>VÄXJÖ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39260-2023</t>
        </is>
      </c>
      <c r="B508" s="1" t="n">
        <v>45166.48473379629</v>
      </c>
      <c r="C508" s="1" t="n">
        <v>46083</v>
      </c>
      <c r="D508" t="inlineStr">
        <is>
          <t>KRONOBERGS LÄN</t>
        </is>
      </c>
      <c r="E508" t="inlineStr">
        <is>
          <t>VÄXJÖ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12115-2023</t>
        </is>
      </c>
      <c r="B509" s="1" t="n">
        <v>44998.41530092592</v>
      </c>
      <c r="C509" s="1" t="n">
        <v>46083</v>
      </c>
      <c r="D509" t="inlineStr">
        <is>
          <t>KRONOBERGS LÄN</t>
        </is>
      </c>
      <c r="E509" t="inlineStr">
        <is>
          <t>VÄXJÖ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3094-2025</t>
        </is>
      </c>
      <c r="B510" s="1" t="n">
        <v>45678</v>
      </c>
      <c r="C510" s="1" t="n">
        <v>46083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3109-2025</t>
        </is>
      </c>
      <c r="B511" s="1" t="n">
        <v>45678</v>
      </c>
      <c r="C511" s="1" t="n">
        <v>46083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20148-2021</t>
        </is>
      </c>
      <c r="B512" s="1" t="n">
        <v>44314</v>
      </c>
      <c r="C512" s="1" t="n">
        <v>46083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37432-2024</t>
        </is>
      </c>
      <c r="B513" s="1" t="n">
        <v>45540</v>
      </c>
      <c r="C513" s="1" t="n">
        <v>46083</v>
      </c>
      <c r="D513" t="inlineStr">
        <is>
          <t>KRONOBERGS LÄN</t>
        </is>
      </c>
      <c r="E513" t="inlineStr">
        <is>
          <t>VÄXJÖ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13026-2024</t>
        </is>
      </c>
      <c r="B514" s="1" t="n">
        <v>45385.58976851852</v>
      </c>
      <c r="C514" s="1" t="n">
        <v>46083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13028-2024</t>
        </is>
      </c>
      <c r="B515" s="1" t="n">
        <v>45385.59068287037</v>
      </c>
      <c r="C515" s="1" t="n">
        <v>46083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35251-2025</t>
        </is>
      </c>
      <c r="B516" s="1" t="n">
        <v>45853.69938657407</v>
      </c>
      <c r="C516" s="1" t="n">
        <v>46083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35341-2025</t>
        </is>
      </c>
      <c r="B517" s="1" t="n">
        <v>45854.59864583334</v>
      </c>
      <c r="C517" s="1" t="n">
        <v>46083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30665-2024</t>
        </is>
      </c>
      <c r="B518" s="1" t="n">
        <v>45495.70517361111</v>
      </c>
      <c r="C518" s="1" t="n">
        <v>46083</v>
      </c>
      <c r="D518" t="inlineStr">
        <is>
          <t>KRONOBERGS LÄN</t>
        </is>
      </c>
      <c r="E518" t="inlineStr">
        <is>
          <t>VÄXJÖ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28565-2023</t>
        </is>
      </c>
      <c r="B519" s="1" t="n">
        <v>45103</v>
      </c>
      <c r="C519" s="1" t="n">
        <v>46083</v>
      </c>
      <c r="D519" t="inlineStr">
        <is>
          <t>KRONOBERGS LÄN</t>
        </is>
      </c>
      <c r="E519" t="inlineStr">
        <is>
          <t>VÄXJÖ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28567-2023</t>
        </is>
      </c>
      <c r="B520" s="1" t="n">
        <v>45103</v>
      </c>
      <c r="C520" s="1" t="n">
        <v>46083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28576-2023</t>
        </is>
      </c>
      <c r="B521" s="1" t="n">
        <v>45103.55109953704</v>
      </c>
      <c r="C521" s="1" t="n">
        <v>46083</v>
      </c>
      <c r="D521" t="inlineStr">
        <is>
          <t>KRONOBERGS LÄN</t>
        </is>
      </c>
      <c r="E521" t="inlineStr">
        <is>
          <t>VÄXJÖ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14226-2025</t>
        </is>
      </c>
      <c r="B522" s="1" t="n">
        <v>45740.59585648148</v>
      </c>
      <c r="C522" s="1" t="n">
        <v>46083</v>
      </c>
      <c r="D522" t="inlineStr">
        <is>
          <t>KRONOBERGS LÄN</t>
        </is>
      </c>
      <c r="E522" t="inlineStr">
        <is>
          <t>VÄXJÖ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40674-2024</t>
        </is>
      </c>
      <c r="B523" s="1" t="n">
        <v>45558.36578703704</v>
      </c>
      <c r="C523" s="1" t="n">
        <v>46083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36745-2024</t>
        </is>
      </c>
      <c r="B524" s="1" t="n">
        <v>45538.33878472223</v>
      </c>
      <c r="C524" s="1" t="n">
        <v>46083</v>
      </c>
      <c r="D524" t="inlineStr">
        <is>
          <t>KRONOBERGS LÄN</t>
        </is>
      </c>
      <c r="E524" t="inlineStr">
        <is>
          <t>VÄXJÖ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27686-2021</t>
        </is>
      </c>
      <c r="B525" s="1" t="n">
        <v>44354</v>
      </c>
      <c r="C525" s="1" t="n">
        <v>46083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31363-2023</t>
        </is>
      </c>
      <c r="B526" s="1" t="n">
        <v>45114</v>
      </c>
      <c r="C526" s="1" t="n">
        <v>46083</v>
      </c>
      <c r="D526" t="inlineStr">
        <is>
          <t>KRONOBERGS LÄN</t>
        </is>
      </c>
      <c r="E526" t="inlineStr">
        <is>
          <t>VÄXJÖ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31364-2023</t>
        </is>
      </c>
      <c r="B527" s="1" t="n">
        <v>45114</v>
      </c>
      <c r="C527" s="1" t="n">
        <v>46083</v>
      </c>
      <c r="D527" t="inlineStr">
        <is>
          <t>KRONOBERGS LÄN</t>
        </is>
      </c>
      <c r="E527" t="inlineStr">
        <is>
          <t>VÄXJÖ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26645-2022</t>
        </is>
      </c>
      <c r="B528" s="1" t="n">
        <v>44739.6016087963</v>
      </c>
      <c r="C528" s="1" t="n">
        <v>46083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45022-2025</t>
        </is>
      </c>
      <c r="B529" s="1" t="n">
        <v>45918</v>
      </c>
      <c r="C529" s="1" t="n">
        <v>46083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45014-2025</t>
        </is>
      </c>
      <c r="B530" s="1" t="n">
        <v>45918</v>
      </c>
      <c r="C530" s="1" t="n">
        <v>46083</v>
      </c>
      <c r="D530" t="inlineStr">
        <is>
          <t>KRONOBERGS LÄN</t>
        </is>
      </c>
      <c r="E530" t="inlineStr">
        <is>
          <t>VÄXJÖ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45016-2025</t>
        </is>
      </c>
      <c r="B531" s="1" t="n">
        <v>45918</v>
      </c>
      <c r="C531" s="1" t="n">
        <v>46083</v>
      </c>
      <c r="D531" t="inlineStr">
        <is>
          <t>KRONOBERGS LÄN</t>
        </is>
      </c>
      <c r="E531" t="inlineStr">
        <is>
          <t>VÄXJÖ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45020-2025</t>
        </is>
      </c>
      <c r="B532" s="1" t="n">
        <v>45918</v>
      </c>
      <c r="C532" s="1" t="n">
        <v>46083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45024-2025</t>
        </is>
      </c>
      <c r="B533" s="1" t="n">
        <v>45918</v>
      </c>
      <c r="C533" s="1" t="n">
        <v>46083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44882-2025</t>
        </is>
      </c>
      <c r="B534" s="1" t="n">
        <v>45918.48403935185</v>
      </c>
      <c r="C534" s="1" t="n">
        <v>46083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45021-2025</t>
        </is>
      </c>
      <c r="B535" s="1" t="n">
        <v>45918</v>
      </c>
      <c r="C535" s="1" t="n">
        <v>46083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33391-2023</t>
        </is>
      </c>
      <c r="B536" s="1" t="n">
        <v>45128</v>
      </c>
      <c r="C536" s="1" t="n">
        <v>46083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12645-2024</t>
        </is>
      </c>
      <c r="B537" s="1" t="n">
        <v>45384.34543981482</v>
      </c>
      <c r="C537" s="1" t="n">
        <v>46083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29165-2023</t>
        </is>
      </c>
      <c r="B538" s="1" t="n">
        <v>45097</v>
      </c>
      <c r="C538" s="1" t="n">
        <v>46083</v>
      </c>
      <c r="D538" t="inlineStr">
        <is>
          <t>KRONOBERGS LÄN</t>
        </is>
      </c>
      <c r="E538" t="inlineStr">
        <is>
          <t>VÄXJÖ</t>
        </is>
      </c>
      <c r="F538" t="inlineStr">
        <is>
          <t>Kyrkan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60010-2024</t>
        </is>
      </c>
      <c r="B539" s="1" t="n">
        <v>45642.42981481482</v>
      </c>
      <c r="C539" s="1" t="n">
        <v>46083</v>
      </c>
      <c r="D539" t="inlineStr">
        <is>
          <t>KRONOBERGS LÄN</t>
        </is>
      </c>
      <c r="E539" t="inlineStr">
        <is>
          <t>VÄXJÖ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19001-2025</t>
        </is>
      </c>
      <c r="B540" s="1" t="n">
        <v>45764.57984953704</v>
      </c>
      <c r="C540" s="1" t="n">
        <v>46083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62123-2023</t>
        </is>
      </c>
      <c r="B541" s="1" t="n">
        <v>45267.31300925926</v>
      </c>
      <c r="C541" s="1" t="n">
        <v>46083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43254-2024</t>
        </is>
      </c>
      <c r="B542" s="1" t="n">
        <v>45568.34643518519</v>
      </c>
      <c r="C542" s="1" t="n">
        <v>46083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31343-2022</t>
        </is>
      </c>
      <c r="B543" s="1" t="n">
        <v>44774.52144675926</v>
      </c>
      <c r="C543" s="1" t="n">
        <v>46083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5352-2025</t>
        </is>
      </c>
      <c r="B544" s="1" t="n">
        <v>45692.56483796296</v>
      </c>
      <c r="C544" s="1" t="n">
        <v>46083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45813-2025</t>
        </is>
      </c>
      <c r="B545" s="1" t="n">
        <v>45923.58896990741</v>
      </c>
      <c r="C545" s="1" t="n">
        <v>46083</v>
      </c>
      <c r="D545" t="inlineStr">
        <is>
          <t>KRONOBERGS LÄN</t>
        </is>
      </c>
      <c r="E545" t="inlineStr">
        <is>
          <t>VÄXJÖ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45689-2025</t>
        </is>
      </c>
      <c r="B546" s="1" t="n">
        <v>45923.38232638889</v>
      </c>
      <c r="C546" s="1" t="n">
        <v>46083</v>
      </c>
      <c r="D546" t="inlineStr">
        <is>
          <t>KRONOBERGS LÄN</t>
        </is>
      </c>
      <c r="E546" t="inlineStr">
        <is>
          <t>VÄXJÖ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11742-2025</t>
        </is>
      </c>
      <c r="B547" s="1" t="n">
        <v>45727.63328703704</v>
      </c>
      <c r="C547" s="1" t="n">
        <v>46083</v>
      </c>
      <c r="D547" t="inlineStr">
        <is>
          <t>KRONOBERGS LÄN</t>
        </is>
      </c>
      <c r="E547" t="inlineStr">
        <is>
          <t>VÄXJÖ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21515-2025</t>
        </is>
      </c>
      <c r="B548" s="1" t="n">
        <v>45782.63381944445</v>
      </c>
      <c r="C548" s="1" t="n">
        <v>46083</v>
      </c>
      <c r="D548" t="inlineStr">
        <is>
          <t>KRONOBERGS LÄN</t>
        </is>
      </c>
      <c r="E548" t="inlineStr">
        <is>
          <t>VÄXJÖ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28179-2021</t>
        </is>
      </c>
      <c r="B549" s="1" t="n">
        <v>44355.61238425926</v>
      </c>
      <c r="C549" s="1" t="n">
        <v>46083</v>
      </c>
      <c r="D549" t="inlineStr">
        <is>
          <t>KRONOBERGS LÄN</t>
        </is>
      </c>
      <c r="E549" t="inlineStr">
        <is>
          <t>VÄXJÖ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16990-2023</t>
        </is>
      </c>
      <c r="B550" s="1" t="n">
        <v>45033</v>
      </c>
      <c r="C550" s="1" t="n">
        <v>46083</v>
      </c>
      <c r="D550" t="inlineStr">
        <is>
          <t>KRONOBERGS LÄN</t>
        </is>
      </c>
      <c r="E550" t="inlineStr">
        <is>
          <t>VÄXJÖ</t>
        </is>
      </c>
      <c r="F550" t="inlineStr">
        <is>
          <t>Övriga Aktiebolag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46169-2025</t>
        </is>
      </c>
      <c r="B551" s="1" t="n">
        <v>45924.64511574074</v>
      </c>
      <c r="C551" s="1" t="n">
        <v>46083</v>
      </c>
      <c r="D551" t="inlineStr">
        <is>
          <t>KRONOBERGS LÄN</t>
        </is>
      </c>
      <c r="E551" t="inlineStr">
        <is>
          <t>VÄXJÖ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46172-2025</t>
        </is>
      </c>
      <c r="B552" s="1" t="n">
        <v>45924.64648148148</v>
      </c>
      <c r="C552" s="1" t="n">
        <v>46083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45976-2025</t>
        </is>
      </c>
      <c r="B553" s="1" t="n">
        <v>45924.36989583333</v>
      </c>
      <c r="C553" s="1" t="n">
        <v>46083</v>
      </c>
      <c r="D553" t="inlineStr">
        <is>
          <t>KRONOBERGS LÄN</t>
        </is>
      </c>
      <c r="E553" t="inlineStr">
        <is>
          <t>VÄXJÖ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46410-2025</t>
        </is>
      </c>
      <c r="B554" s="1" t="n">
        <v>45925.56767361111</v>
      </c>
      <c r="C554" s="1" t="n">
        <v>46083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27491-2021</t>
        </is>
      </c>
      <c r="B555" s="1" t="n">
        <v>44351.62145833333</v>
      </c>
      <c r="C555" s="1" t="n">
        <v>46083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46628-2025</t>
        </is>
      </c>
      <c r="B556" s="1" t="n">
        <v>45926.45256944445</v>
      </c>
      <c r="C556" s="1" t="n">
        <v>46083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36463-2025</t>
        </is>
      </c>
      <c r="B557" s="1" t="n">
        <v>45869</v>
      </c>
      <c r="C557" s="1" t="n">
        <v>46083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32498-2023</t>
        </is>
      </c>
      <c r="B558" s="1" t="n">
        <v>45121</v>
      </c>
      <c r="C558" s="1" t="n">
        <v>46083</v>
      </c>
      <c r="D558" t="inlineStr">
        <is>
          <t>KRONOBERGS LÄN</t>
        </is>
      </c>
      <c r="E558" t="inlineStr">
        <is>
          <t>VÄXJÖ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32466-2022</t>
        </is>
      </c>
      <c r="B559" s="1" t="n">
        <v>44782</v>
      </c>
      <c r="C559" s="1" t="n">
        <v>46083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46474-2025</t>
        </is>
      </c>
      <c r="B560" s="1" t="n">
        <v>45925.68758101852</v>
      </c>
      <c r="C560" s="1" t="n">
        <v>46083</v>
      </c>
      <c r="D560" t="inlineStr">
        <is>
          <t>KRONOBERGS LÄN</t>
        </is>
      </c>
      <c r="E560" t="inlineStr">
        <is>
          <t>VÄXJÖ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46461-2025</t>
        </is>
      </c>
      <c r="B561" s="1" t="n">
        <v>45925.66645833333</v>
      </c>
      <c r="C561" s="1" t="n">
        <v>46083</v>
      </c>
      <c r="D561" t="inlineStr">
        <is>
          <t>KRONOBERGS LÄN</t>
        </is>
      </c>
      <c r="E561" t="inlineStr">
        <is>
          <t>VÄXJÖ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36462-2025</t>
        </is>
      </c>
      <c r="B562" s="1" t="n">
        <v>45869</v>
      </c>
      <c r="C562" s="1" t="n">
        <v>46083</v>
      </c>
      <c r="D562" t="inlineStr">
        <is>
          <t>KRONOBERGS LÄN</t>
        </is>
      </c>
      <c r="E562" t="inlineStr">
        <is>
          <t>VÄXJÖ</t>
        </is>
      </c>
      <c r="F562" t="inlineStr">
        <is>
          <t>Kyrkan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61193-2024</t>
        </is>
      </c>
      <c r="B563" s="1" t="n">
        <v>45645.6278587963</v>
      </c>
      <c r="C563" s="1" t="n">
        <v>46083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33187-2023</t>
        </is>
      </c>
      <c r="B564" s="1" t="n">
        <v>45127.38489583333</v>
      </c>
      <c r="C564" s="1" t="n">
        <v>46083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33208-2023</t>
        </is>
      </c>
      <c r="B565" s="1" t="n">
        <v>45127</v>
      </c>
      <c r="C565" s="1" t="n">
        <v>46083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40074-2023</t>
        </is>
      </c>
      <c r="B566" s="1" t="n">
        <v>45168.88072916667</v>
      </c>
      <c r="C566" s="1" t="n">
        <v>46083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47257-2025</t>
        </is>
      </c>
      <c r="B567" s="1" t="n">
        <v>45930</v>
      </c>
      <c r="C567" s="1" t="n">
        <v>46083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36866-2025</t>
        </is>
      </c>
      <c r="B568" s="1" t="n">
        <v>45874.42462962963</v>
      </c>
      <c r="C568" s="1" t="n">
        <v>46083</v>
      </c>
      <c r="D568" t="inlineStr">
        <is>
          <t>KRONOBERGS LÄN</t>
        </is>
      </c>
      <c r="E568" t="inlineStr">
        <is>
          <t>VÄXJÖ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24524-2024</t>
        </is>
      </c>
      <c r="B569" s="1" t="n">
        <v>45460</v>
      </c>
      <c r="C569" s="1" t="n">
        <v>46083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12015-2023</t>
        </is>
      </c>
      <c r="B570" s="1" t="n">
        <v>44995</v>
      </c>
      <c r="C570" s="1" t="n">
        <v>46083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31022-2023</t>
        </is>
      </c>
      <c r="B571" s="1" t="n">
        <v>45113.57717592592</v>
      </c>
      <c r="C571" s="1" t="n">
        <v>46083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31029-2023</t>
        </is>
      </c>
      <c r="B572" s="1" t="n">
        <v>45113</v>
      </c>
      <c r="C572" s="1" t="n">
        <v>46083</v>
      </c>
      <c r="D572" t="inlineStr">
        <is>
          <t>KRONOBERGS LÄN</t>
        </is>
      </c>
      <c r="E572" t="inlineStr">
        <is>
          <t>VÄXJÖ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70401-2021</t>
        </is>
      </c>
      <c r="B573" s="1" t="n">
        <v>44536.55450231482</v>
      </c>
      <c r="C573" s="1" t="n">
        <v>46083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57826-2024</t>
        </is>
      </c>
      <c r="B574" s="1" t="n">
        <v>45631.38643518519</v>
      </c>
      <c r="C574" s="1" t="n">
        <v>46083</v>
      </c>
      <c r="D574" t="inlineStr">
        <is>
          <t>KRONOBERGS LÄN</t>
        </is>
      </c>
      <c r="E574" t="inlineStr">
        <is>
          <t>VÄXJÖ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37016-2025</t>
        </is>
      </c>
      <c r="B575" s="1" t="n">
        <v>45874</v>
      </c>
      <c r="C575" s="1" t="n">
        <v>46083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27941-2021</t>
        </is>
      </c>
      <c r="B576" s="1" t="n">
        <v>44354.84642361111</v>
      </c>
      <c r="C576" s="1" t="n">
        <v>46083</v>
      </c>
      <c r="D576" t="inlineStr">
        <is>
          <t>KRONOBERGS LÄN</t>
        </is>
      </c>
      <c r="E576" t="inlineStr">
        <is>
          <t>VÄXJÖ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47996-2025</t>
        </is>
      </c>
      <c r="B577" s="1" t="n">
        <v>45932.62766203703</v>
      </c>
      <c r="C577" s="1" t="n">
        <v>46083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42360-2021</t>
        </is>
      </c>
      <c r="B578" s="1" t="n">
        <v>44427</v>
      </c>
      <c r="C578" s="1" t="n">
        <v>46083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37453-2025</t>
        </is>
      </c>
      <c r="B579" s="1" t="n">
        <v>45877</v>
      </c>
      <c r="C579" s="1" t="n">
        <v>46083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5288-2025</t>
        </is>
      </c>
      <c r="B580" s="1" t="n">
        <v>45692</v>
      </c>
      <c r="C580" s="1" t="n">
        <v>46083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35469-2025</t>
        </is>
      </c>
      <c r="B581" s="1" t="n">
        <v>45855.66106481481</v>
      </c>
      <c r="C581" s="1" t="n">
        <v>46083</v>
      </c>
      <c r="D581" t="inlineStr">
        <is>
          <t>KRONOBERGS LÄN</t>
        </is>
      </c>
      <c r="E581" t="inlineStr">
        <is>
          <t>VÄXJÖ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37355-2021</t>
        </is>
      </c>
      <c r="B582" s="1" t="n">
        <v>44397.68809027778</v>
      </c>
      <c r="C582" s="1" t="n">
        <v>46083</v>
      </c>
      <c r="D582" t="inlineStr">
        <is>
          <t>KRONOBERGS LÄN</t>
        </is>
      </c>
      <c r="E582" t="inlineStr">
        <is>
          <t>VÄXJÖ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9357-2025</t>
        </is>
      </c>
      <c r="B583" s="1" t="n">
        <v>45714.9666087963</v>
      </c>
      <c r="C583" s="1" t="n">
        <v>46083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48268-2022</t>
        </is>
      </c>
      <c r="B584" s="1" t="n">
        <v>44858</v>
      </c>
      <c r="C584" s="1" t="n">
        <v>46083</v>
      </c>
      <c r="D584" t="inlineStr">
        <is>
          <t>KRONOBERGS LÄN</t>
        </is>
      </c>
      <c r="E584" t="inlineStr">
        <is>
          <t>VÄXJÖ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37415-2025</t>
        </is>
      </c>
      <c r="B585" s="1" t="n">
        <v>45877.47127314815</v>
      </c>
      <c r="C585" s="1" t="n">
        <v>46083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61964-2021</t>
        </is>
      </c>
      <c r="B586" s="1" t="n">
        <v>44502</v>
      </c>
      <c r="C586" s="1" t="n">
        <v>46083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26085-2023</t>
        </is>
      </c>
      <c r="B587" s="1" t="n">
        <v>45091.38644675926</v>
      </c>
      <c r="C587" s="1" t="n">
        <v>46083</v>
      </c>
      <c r="D587" t="inlineStr">
        <is>
          <t>KRONOBERGS LÄN</t>
        </is>
      </c>
      <c r="E587" t="inlineStr">
        <is>
          <t>VÄXJÖ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16584-2023</t>
        </is>
      </c>
      <c r="B588" s="1" t="n">
        <v>45030</v>
      </c>
      <c r="C588" s="1" t="n">
        <v>46083</v>
      </c>
      <c r="D588" t="inlineStr">
        <is>
          <t>KRONOBERGS LÄN</t>
        </is>
      </c>
      <c r="E588" t="inlineStr">
        <is>
          <t>VÄXJÖ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37902-2025</t>
        </is>
      </c>
      <c r="B589" s="1" t="n">
        <v>45881.56177083333</v>
      </c>
      <c r="C589" s="1" t="n">
        <v>46083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50438-2023</t>
        </is>
      </c>
      <c r="B590" s="1" t="n">
        <v>45216.70546296296</v>
      </c>
      <c r="C590" s="1" t="n">
        <v>46083</v>
      </c>
      <c r="D590" t="inlineStr">
        <is>
          <t>KRONOBERGS LÄN</t>
        </is>
      </c>
      <c r="E590" t="inlineStr">
        <is>
          <t>VÄXJÖ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48010-2025</t>
        </is>
      </c>
      <c r="B591" s="1" t="n">
        <v>45932.64313657407</v>
      </c>
      <c r="C591" s="1" t="n">
        <v>46083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37994-2025</t>
        </is>
      </c>
      <c r="B592" s="1" t="n">
        <v>45881.75081018519</v>
      </c>
      <c r="C592" s="1" t="n">
        <v>46083</v>
      </c>
      <c r="D592" t="inlineStr">
        <is>
          <t>KRONOBERGS LÄN</t>
        </is>
      </c>
      <c r="E592" t="inlineStr">
        <is>
          <t>VÄXJÖ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48394-2025</t>
        </is>
      </c>
      <c r="B593" s="1" t="n">
        <v>45933.9649537037</v>
      </c>
      <c r="C593" s="1" t="n">
        <v>46083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55537-2024</t>
        </is>
      </c>
      <c r="B594" s="1" t="n">
        <v>45622.49302083333</v>
      </c>
      <c r="C594" s="1" t="n">
        <v>46083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63846-2023</t>
        </is>
      </c>
      <c r="B595" s="1" t="n">
        <v>45278.47853009259</v>
      </c>
      <c r="C595" s="1" t="n">
        <v>46083</v>
      </c>
      <c r="D595" t="inlineStr">
        <is>
          <t>KRONOBERGS LÄN</t>
        </is>
      </c>
      <c r="E595" t="inlineStr">
        <is>
          <t>VÄXJÖ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5179-2025</t>
        </is>
      </c>
      <c r="B596" s="1" t="n">
        <v>45691</v>
      </c>
      <c r="C596" s="1" t="n">
        <v>46083</v>
      </c>
      <c r="D596" t="inlineStr">
        <is>
          <t>KRONOBERGS LÄN</t>
        </is>
      </c>
      <c r="E596" t="inlineStr">
        <is>
          <t>VÄXJÖ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38390-2022</t>
        </is>
      </c>
      <c r="B597" s="1" t="n">
        <v>44812</v>
      </c>
      <c r="C597" s="1" t="n">
        <v>46083</v>
      </c>
      <c r="D597" t="inlineStr">
        <is>
          <t>KRONOBERGS LÄN</t>
        </is>
      </c>
      <c r="E597" t="inlineStr">
        <is>
          <t>VÄXJÖ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9821-2025</t>
        </is>
      </c>
      <c r="B598" s="1" t="n">
        <v>45715</v>
      </c>
      <c r="C598" s="1" t="n">
        <v>46083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48292-2025</t>
        </is>
      </c>
      <c r="B599" s="1" t="n">
        <v>45933.5980324074</v>
      </c>
      <c r="C599" s="1" t="n">
        <v>46083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48151-2025</t>
        </is>
      </c>
      <c r="B600" s="1" t="n">
        <v>45933.40837962963</v>
      </c>
      <c r="C600" s="1" t="n">
        <v>46083</v>
      </c>
      <c r="D600" t="inlineStr">
        <is>
          <t>KRONOBERGS LÄN</t>
        </is>
      </c>
      <c r="E600" t="inlineStr">
        <is>
          <t>VÄXJÖ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48161-2025</t>
        </is>
      </c>
      <c r="B601" s="1" t="n">
        <v>45933.4261574074</v>
      </c>
      <c r="C601" s="1" t="n">
        <v>46083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19187-2023</t>
        </is>
      </c>
      <c r="B602" s="1" t="n">
        <v>45048</v>
      </c>
      <c r="C602" s="1" t="n">
        <v>46083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48158-2025</t>
        </is>
      </c>
      <c r="B603" s="1" t="n">
        <v>45933</v>
      </c>
      <c r="C603" s="1" t="n">
        <v>46083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44860-2023</t>
        </is>
      </c>
      <c r="B604" s="1" t="n">
        <v>45190</v>
      </c>
      <c r="C604" s="1" t="n">
        <v>46083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48270-2025</t>
        </is>
      </c>
      <c r="B605" s="1" t="n">
        <v>45933.57260416666</v>
      </c>
      <c r="C605" s="1" t="n">
        <v>46083</v>
      </c>
      <c r="D605" t="inlineStr">
        <is>
          <t>KRONOBERGS LÄN</t>
        </is>
      </c>
      <c r="E605" t="inlineStr">
        <is>
          <t>VÄXJÖ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19904-2025</t>
        </is>
      </c>
      <c r="B606" s="1" t="n">
        <v>45771.59387731482</v>
      </c>
      <c r="C606" s="1" t="n">
        <v>46083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48159-2025</t>
        </is>
      </c>
      <c r="B607" s="1" t="n">
        <v>45933.42581018519</v>
      </c>
      <c r="C607" s="1" t="n">
        <v>46083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10955-2023</t>
        </is>
      </c>
      <c r="B608" s="1" t="n">
        <v>44991</v>
      </c>
      <c r="C608" s="1" t="n">
        <v>46083</v>
      </c>
      <c r="D608" t="inlineStr">
        <is>
          <t>KRONOBERGS LÄN</t>
        </is>
      </c>
      <c r="E608" t="inlineStr">
        <is>
          <t>VÄXJÖ</t>
        </is>
      </c>
      <c r="G608" t="n">
        <v>24.7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32490-2024</t>
        </is>
      </c>
      <c r="B609" s="1" t="n">
        <v>45513.4027199074</v>
      </c>
      <c r="C609" s="1" t="n">
        <v>46083</v>
      </c>
      <c r="D609" t="inlineStr">
        <is>
          <t>KRONOBERGS LÄN</t>
        </is>
      </c>
      <c r="E609" t="inlineStr">
        <is>
          <t>VÄXJÖ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48905-2025</t>
        </is>
      </c>
      <c r="B610" s="1" t="n">
        <v>45937.48282407408</v>
      </c>
      <c r="C610" s="1" t="n">
        <v>46083</v>
      </c>
      <c r="D610" t="inlineStr">
        <is>
          <t>KRONOBERGS LÄN</t>
        </is>
      </c>
      <c r="E610" t="inlineStr">
        <is>
          <t>VÄXJÖ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48898-2025</t>
        </is>
      </c>
      <c r="B611" s="1" t="n">
        <v>45937.47538194444</v>
      </c>
      <c r="C611" s="1" t="n">
        <v>46083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48884-2025</t>
        </is>
      </c>
      <c r="B612" s="1" t="n">
        <v>45937.46489583333</v>
      </c>
      <c r="C612" s="1" t="n">
        <v>46083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38172-2023</t>
        </is>
      </c>
      <c r="B613" s="1" t="n">
        <v>45161</v>
      </c>
      <c r="C613" s="1" t="n">
        <v>46083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14852-2025</t>
        </is>
      </c>
      <c r="B614" s="1" t="n">
        <v>45743.40726851852</v>
      </c>
      <c r="C614" s="1" t="n">
        <v>46083</v>
      </c>
      <c r="D614" t="inlineStr">
        <is>
          <t>KRONOBERGS LÄN</t>
        </is>
      </c>
      <c r="E614" t="inlineStr">
        <is>
          <t>VÄXJÖ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65106-2023</t>
        </is>
      </c>
      <c r="B615" s="1" t="n">
        <v>45288.44112268519</v>
      </c>
      <c r="C615" s="1" t="n">
        <v>46083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49263-2023</t>
        </is>
      </c>
      <c r="B616" s="1" t="n">
        <v>45210.6784837963</v>
      </c>
      <c r="C616" s="1" t="n">
        <v>46083</v>
      </c>
      <c r="D616" t="inlineStr">
        <is>
          <t>KRONOBERGS LÄN</t>
        </is>
      </c>
      <c r="E616" t="inlineStr">
        <is>
          <t>VÄXJÖ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38396-2025</t>
        </is>
      </c>
      <c r="B617" s="1" t="n">
        <v>45883.58010416666</v>
      </c>
      <c r="C617" s="1" t="n">
        <v>46083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60163-2022</t>
        </is>
      </c>
      <c r="B618" s="1" t="n">
        <v>44909.78114583333</v>
      </c>
      <c r="C618" s="1" t="n">
        <v>46083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49234-2025</t>
        </is>
      </c>
      <c r="B619" s="1" t="n">
        <v>45938.4771875</v>
      </c>
      <c r="C619" s="1" t="n">
        <v>46083</v>
      </c>
      <c r="D619" t="inlineStr">
        <is>
          <t>KRONOBERGS LÄN</t>
        </is>
      </c>
      <c r="E619" t="inlineStr">
        <is>
          <t>VÄXJÖ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62245-2022</t>
        </is>
      </c>
      <c r="B620" s="1" t="n">
        <v>44922.87642361111</v>
      </c>
      <c r="C620" s="1" t="n">
        <v>46083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16593-2025</t>
        </is>
      </c>
      <c r="B621" s="1" t="n">
        <v>45753.32285879629</v>
      </c>
      <c r="C621" s="1" t="n">
        <v>46083</v>
      </c>
      <c r="D621" t="inlineStr">
        <is>
          <t>KRONOBERGS LÄN</t>
        </is>
      </c>
      <c r="E621" t="inlineStr">
        <is>
          <t>VÄXJÖ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27757-2025</t>
        </is>
      </c>
      <c r="B622" s="1" t="n">
        <v>45816.46207175926</v>
      </c>
      <c r="C622" s="1" t="n">
        <v>46083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53240-2023</t>
        </is>
      </c>
      <c r="B623" s="1" t="n">
        <v>45229.49297453704</v>
      </c>
      <c r="C623" s="1" t="n">
        <v>46083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49522-2025</t>
        </is>
      </c>
      <c r="B624" s="1" t="n">
        <v>45939</v>
      </c>
      <c r="C624" s="1" t="n">
        <v>46083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73827-2021</t>
        </is>
      </c>
      <c r="B625" s="1" t="n">
        <v>44552.83320601852</v>
      </c>
      <c r="C625" s="1" t="n">
        <v>46083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49578-2025</t>
        </is>
      </c>
      <c r="B626" s="1" t="n">
        <v>45939.49226851852</v>
      </c>
      <c r="C626" s="1" t="n">
        <v>46083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58181-2023</t>
        </is>
      </c>
      <c r="B627" s="1" t="n">
        <v>45250.41039351852</v>
      </c>
      <c r="C627" s="1" t="n">
        <v>46083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51662-2023</t>
        </is>
      </c>
      <c r="B628" s="1" t="n">
        <v>45222.56923611111</v>
      </c>
      <c r="C628" s="1" t="n">
        <v>46083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40548-2025</t>
        </is>
      </c>
      <c r="B629" s="1" t="n">
        <v>45896</v>
      </c>
      <c r="C629" s="1" t="n">
        <v>46083</v>
      </c>
      <c r="D629" t="inlineStr">
        <is>
          <t>KRONOBERGS LÄN</t>
        </is>
      </c>
      <c r="E629" t="inlineStr">
        <is>
          <t>VÄXJÖ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34744-2023</t>
        </is>
      </c>
      <c r="B630" s="1" t="n">
        <v>45141</v>
      </c>
      <c r="C630" s="1" t="n">
        <v>46083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53522-2024</t>
        </is>
      </c>
      <c r="B631" s="1" t="n">
        <v>45614.61105324074</v>
      </c>
      <c r="C631" s="1" t="n">
        <v>46083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10070-2025</t>
        </is>
      </c>
      <c r="B632" s="1" t="n">
        <v>45719.54616898148</v>
      </c>
      <c r="C632" s="1" t="n">
        <v>46083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10075-2025</t>
        </is>
      </c>
      <c r="B633" s="1" t="n">
        <v>45719</v>
      </c>
      <c r="C633" s="1" t="n">
        <v>46083</v>
      </c>
      <c r="D633" t="inlineStr">
        <is>
          <t>KRONOBERGS LÄN</t>
        </is>
      </c>
      <c r="E633" t="inlineStr">
        <is>
          <t>VÄXJÖ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35896-2024</t>
        </is>
      </c>
      <c r="B634" s="1" t="n">
        <v>45533.38872685185</v>
      </c>
      <c r="C634" s="1" t="n">
        <v>46083</v>
      </c>
      <c r="D634" t="inlineStr">
        <is>
          <t>KRONOBERGS LÄN</t>
        </is>
      </c>
      <c r="E634" t="inlineStr">
        <is>
          <t>VÄXJÖ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68473-2021</t>
        </is>
      </c>
      <c r="B635" s="1" t="n">
        <v>44529</v>
      </c>
      <c r="C635" s="1" t="n">
        <v>46083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12618-2022</t>
        </is>
      </c>
      <c r="B636" s="1" t="n">
        <v>44641</v>
      </c>
      <c r="C636" s="1" t="n">
        <v>46083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50207-2025</t>
        </is>
      </c>
      <c r="B637" s="1" t="n">
        <v>45943.66315972222</v>
      </c>
      <c r="C637" s="1" t="n">
        <v>46083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58060-2021</t>
        </is>
      </c>
      <c r="B638" s="1" t="n">
        <v>44487</v>
      </c>
      <c r="C638" s="1" t="n">
        <v>46083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38628-2025</t>
        </is>
      </c>
      <c r="B639" s="1" t="n">
        <v>45884.55954861111</v>
      </c>
      <c r="C639" s="1" t="n">
        <v>46083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38425-2025</t>
        </is>
      </c>
      <c r="B640" s="1" t="n">
        <v>45883.6346412037</v>
      </c>
      <c r="C640" s="1" t="n">
        <v>46083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64292-2023</t>
        </is>
      </c>
      <c r="B641" s="1" t="n">
        <v>45280.34100694444</v>
      </c>
      <c r="C641" s="1" t="n">
        <v>46083</v>
      </c>
      <c r="D641" t="inlineStr">
        <is>
          <t>KRONOBERGS LÄN</t>
        </is>
      </c>
      <c r="E641" t="inlineStr">
        <is>
          <t>VÄXJÖ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52545-2022</t>
        </is>
      </c>
      <c r="B642" s="1" t="n">
        <v>44874.58840277778</v>
      </c>
      <c r="C642" s="1" t="n">
        <v>46083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28036-2025</t>
        </is>
      </c>
      <c r="B643" s="1" t="n">
        <v>45817.63504629629</v>
      </c>
      <c r="C643" s="1" t="n">
        <v>46083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9755-2025</t>
        </is>
      </c>
      <c r="B644" s="1" t="n">
        <v>45715</v>
      </c>
      <c r="C644" s="1" t="n">
        <v>46083</v>
      </c>
      <c r="D644" t="inlineStr">
        <is>
          <t>KRONOBERGS LÄN</t>
        </is>
      </c>
      <c r="E644" t="inlineStr">
        <is>
          <t>VÄXJÖ</t>
        </is>
      </c>
      <c r="F644" t="inlineStr">
        <is>
          <t>Kyrkan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30438-2023</t>
        </is>
      </c>
      <c r="B645" s="1" t="n">
        <v>45111.55594907407</v>
      </c>
      <c r="C645" s="1" t="n">
        <v>46083</v>
      </c>
      <c r="D645" t="inlineStr">
        <is>
          <t>KRONOBERGS LÄN</t>
        </is>
      </c>
      <c r="E645" t="inlineStr">
        <is>
          <t>VÄXJÖ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9177-2025</t>
        </is>
      </c>
      <c r="B646" s="1" t="n">
        <v>45714.41549768519</v>
      </c>
      <c r="C646" s="1" t="n">
        <v>46083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53685-2022</t>
        </is>
      </c>
      <c r="B647" s="1" t="n">
        <v>44880</v>
      </c>
      <c r="C647" s="1" t="n">
        <v>46083</v>
      </c>
      <c r="D647" t="inlineStr">
        <is>
          <t>KRONOBERGS LÄN</t>
        </is>
      </c>
      <c r="E647" t="inlineStr">
        <is>
          <t>VÄXJÖ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62244-2023</t>
        </is>
      </c>
      <c r="B648" s="1" t="n">
        <v>45267.60236111111</v>
      </c>
      <c r="C648" s="1" t="n">
        <v>46083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19005-2025</t>
        </is>
      </c>
      <c r="B649" s="1" t="n">
        <v>45764.5834837963</v>
      </c>
      <c r="C649" s="1" t="n">
        <v>46083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50316-2025</t>
        </is>
      </c>
      <c r="B650" s="1" t="n">
        <v>45944.44701388889</v>
      </c>
      <c r="C650" s="1" t="n">
        <v>46083</v>
      </c>
      <c r="D650" t="inlineStr">
        <is>
          <t>KRONOBERGS LÄN</t>
        </is>
      </c>
      <c r="E650" t="inlineStr">
        <is>
          <t>VÄXJÖ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56821-2022</t>
        </is>
      </c>
      <c r="B651" s="1" t="n">
        <v>44894</v>
      </c>
      <c r="C651" s="1" t="n">
        <v>46083</v>
      </c>
      <c r="D651" t="inlineStr">
        <is>
          <t>KRONOBERGS LÄN</t>
        </is>
      </c>
      <c r="E651" t="inlineStr">
        <is>
          <t>VÄXJÖ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17597-2023</t>
        </is>
      </c>
      <c r="B652" s="1" t="n">
        <v>45036.60653935185</v>
      </c>
      <c r="C652" s="1" t="n">
        <v>46083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50017-2024</t>
        </is>
      </c>
      <c r="B653" s="1" t="n">
        <v>45599.3781712963</v>
      </c>
      <c r="C653" s="1" t="n">
        <v>46083</v>
      </c>
      <c r="D653" t="inlineStr">
        <is>
          <t>KRONOBERGS LÄN</t>
        </is>
      </c>
      <c r="E653" t="inlineStr">
        <is>
          <t>VÄXJÖ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67304-2021</t>
        </is>
      </c>
      <c r="B654" s="1" t="n">
        <v>44523.64958333333</v>
      </c>
      <c r="C654" s="1" t="n">
        <v>46083</v>
      </c>
      <c r="D654" t="inlineStr">
        <is>
          <t>KRONOBERGS LÄN</t>
        </is>
      </c>
      <c r="E654" t="inlineStr">
        <is>
          <t>VÄXJÖ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49138-2025</t>
        </is>
      </c>
      <c r="B655" s="1" t="n">
        <v>45938.27462962963</v>
      </c>
      <c r="C655" s="1" t="n">
        <v>46083</v>
      </c>
      <c r="D655" t="inlineStr">
        <is>
          <t>KRONOBERGS LÄN</t>
        </is>
      </c>
      <c r="E655" t="inlineStr">
        <is>
          <t>VÄXJÖ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54397-2023</t>
        </is>
      </c>
      <c r="B656" s="1" t="n">
        <v>45233.37359953704</v>
      </c>
      <c r="C656" s="1" t="n">
        <v>46083</v>
      </c>
      <c r="D656" t="inlineStr">
        <is>
          <t>KRONOBERGS LÄN</t>
        </is>
      </c>
      <c r="E656" t="inlineStr">
        <is>
          <t>VÄXJÖ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6183-2022</t>
        </is>
      </c>
      <c r="B657" s="1" t="n">
        <v>44600</v>
      </c>
      <c r="C657" s="1" t="n">
        <v>46083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50849-2025</t>
        </is>
      </c>
      <c r="B658" s="1" t="n">
        <v>45946.58215277778</v>
      </c>
      <c r="C658" s="1" t="n">
        <v>46083</v>
      </c>
      <c r="D658" t="inlineStr">
        <is>
          <t>KRONOBERGS LÄN</t>
        </is>
      </c>
      <c r="E658" t="inlineStr">
        <is>
          <t>VÄXJÖ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44457.86240740741</v>
      </c>
      <c r="C659" s="1" t="n">
        <v>46083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42983-2025</t>
        </is>
      </c>
      <c r="B660" s="1" t="n">
        <v>45909</v>
      </c>
      <c r="C660" s="1" t="n">
        <v>46083</v>
      </c>
      <c r="D660" t="inlineStr">
        <is>
          <t>KRONOBERGS LÄN</t>
        </is>
      </c>
      <c r="E660" t="inlineStr">
        <is>
          <t>VÄXJÖ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37791-2025</t>
        </is>
      </c>
      <c r="B661" s="1" t="n">
        <v>45881</v>
      </c>
      <c r="C661" s="1" t="n">
        <v>46083</v>
      </c>
      <c r="D661" t="inlineStr">
        <is>
          <t>KRONOBERGS LÄN</t>
        </is>
      </c>
      <c r="E661" t="inlineStr">
        <is>
          <t>VÄXJÖ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50445-2025</t>
        </is>
      </c>
      <c r="B662" s="1" t="n">
        <v>45944.9649537037</v>
      </c>
      <c r="C662" s="1" t="n">
        <v>46083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50703-2025</t>
        </is>
      </c>
      <c r="B663" s="1" t="n">
        <v>45946.2662037037</v>
      </c>
      <c r="C663" s="1" t="n">
        <v>46083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50908-2025</t>
        </is>
      </c>
      <c r="B664" s="1" t="n">
        <v>45946.654375</v>
      </c>
      <c r="C664" s="1" t="n">
        <v>46083</v>
      </c>
      <c r="D664" t="inlineStr">
        <is>
          <t>KRONOBERGS LÄN</t>
        </is>
      </c>
      <c r="E664" t="inlineStr">
        <is>
          <t>VÄXJÖ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58165-2024</t>
        </is>
      </c>
      <c r="B665" s="1" t="n">
        <v>45632.45528935185</v>
      </c>
      <c r="C665" s="1" t="n">
        <v>46083</v>
      </c>
      <c r="D665" t="inlineStr">
        <is>
          <t>KRONOBERGS LÄN</t>
        </is>
      </c>
      <c r="E665" t="inlineStr">
        <is>
          <t>VÄXJÖ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46083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36724-2023</t>
        </is>
      </c>
      <c r="B667" s="1" t="n">
        <v>45153</v>
      </c>
      <c r="C667" s="1" t="n">
        <v>46083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22441-2022</t>
        </is>
      </c>
      <c r="B668" s="1" t="n">
        <v>44713.535</v>
      </c>
      <c r="C668" s="1" t="n">
        <v>46083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51410-2025</t>
        </is>
      </c>
      <c r="B669" s="1" t="n">
        <v>45950.49357638889</v>
      </c>
      <c r="C669" s="1" t="n">
        <v>46083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59867-2022</t>
        </is>
      </c>
      <c r="B670" s="1" t="n">
        <v>44908</v>
      </c>
      <c r="C670" s="1" t="n">
        <v>46083</v>
      </c>
      <c r="D670" t="inlineStr">
        <is>
          <t>KRONOBERGS LÄN</t>
        </is>
      </c>
      <c r="E670" t="inlineStr">
        <is>
          <t>VÄXJÖ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57606-2022</t>
        </is>
      </c>
      <c r="B671" s="1" t="n">
        <v>44897</v>
      </c>
      <c r="C671" s="1" t="n">
        <v>46083</v>
      </c>
      <c r="D671" t="inlineStr">
        <is>
          <t>KRONOBERGS LÄN</t>
        </is>
      </c>
      <c r="E671" t="inlineStr">
        <is>
          <t>VÄXJÖ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48860-2023</t>
        </is>
      </c>
      <c r="B672" s="1" t="n">
        <v>45204</v>
      </c>
      <c r="C672" s="1" t="n">
        <v>46083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13841-2025</t>
        </is>
      </c>
      <c r="B673" s="1" t="n">
        <v>45737.55744212963</v>
      </c>
      <c r="C673" s="1" t="n">
        <v>46083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51188-2025</t>
        </is>
      </c>
      <c r="B674" s="1" t="n">
        <v>45947.62429398148</v>
      </c>
      <c r="C674" s="1" t="n">
        <v>46083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40622-2024</t>
        </is>
      </c>
      <c r="B675" s="1" t="n">
        <v>45557.57826388889</v>
      </c>
      <c r="C675" s="1" t="n">
        <v>46083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188-2023</t>
        </is>
      </c>
      <c r="B676" s="1" t="n">
        <v>44928</v>
      </c>
      <c r="C676" s="1" t="n">
        <v>46083</v>
      </c>
      <c r="D676" t="inlineStr">
        <is>
          <t>KRONOBERGS LÄN</t>
        </is>
      </c>
      <c r="E676" t="inlineStr">
        <is>
          <t>VÄXJÖ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52085-2025</t>
        </is>
      </c>
      <c r="B677" s="1" t="n">
        <v>45952.66959490741</v>
      </c>
      <c r="C677" s="1" t="n">
        <v>46083</v>
      </c>
      <c r="D677" t="inlineStr">
        <is>
          <t>KRONOBERGS LÄN</t>
        </is>
      </c>
      <c r="E677" t="inlineStr">
        <is>
          <t>VÄXJÖ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64193-2023</t>
        </is>
      </c>
      <c r="B678" s="1" t="n">
        <v>45279.67762731481</v>
      </c>
      <c r="C678" s="1" t="n">
        <v>46083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51921-2025</t>
        </is>
      </c>
      <c r="B679" s="1" t="n">
        <v>45952.48637731482</v>
      </c>
      <c r="C679" s="1" t="n">
        <v>46083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45893-2025</t>
        </is>
      </c>
      <c r="B680" s="1" t="n">
        <v>45923.67596064815</v>
      </c>
      <c r="C680" s="1" t="n">
        <v>46083</v>
      </c>
      <c r="D680" t="inlineStr">
        <is>
          <t>KRONOBERGS LÄN</t>
        </is>
      </c>
      <c r="E680" t="inlineStr">
        <is>
          <t>VÄXJÖ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18376-2025</t>
        </is>
      </c>
      <c r="B681" s="1" t="n">
        <v>45762.57465277778</v>
      </c>
      <c r="C681" s="1" t="n">
        <v>46083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46471-2025</t>
        </is>
      </c>
      <c r="B682" s="1" t="n">
        <v>45925.68325231481</v>
      </c>
      <c r="C682" s="1" t="n">
        <v>46083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63102-2023</t>
        </is>
      </c>
      <c r="B683" s="1" t="n">
        <v>45273</v>
      </c>
      <c r="C683" s="1" t="n">
        <v>46083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20621-2024</t>
        </is>
      </c>
      <c r="B684" s="1" t="n">
        <v>45436.46103009259</v>
      </c>
      <c r="C684" s="1" t="n">
        <v>46083</v>
      </c>
      <c r="D684" t="inlineStr">
        <is>
          <t>KRONOBERGS LÄN</t>
        </is>
      </c>
      <c r="E684" t="inlineStr">
        <is>
          <t>VÄXJÖ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29477-2023</t>
        </is>
      </c>
      <c r="B685" s="1" t="n">
        <v>45106.5721875</v>
      </c>
      <c r="C685" s="1" t="n">
        <v>46083</v>
      </c>
      <c r="D685" t="inlineStr">
        <is>
          <t>KRONOBERGS LÄN</t>
        </is>
      </c>
      <c r="E685" t="inlineStr">
        <is>
          <t>VÄXJÖ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25961-2023</t>
        </is>
      </c>
      <c r="B686" s="1" t="n">
        <v>45090.77837962963</v>
      </c>
      <c r="C686" s="1" t="n">
        <v>46083</v>
      </c>
      <c r="D686" t="inlineStr">
        <is>
          <t>KRONOBERGS LÄN</t>
        </is>
      </c>
      <c r="E686" t="inlineStr">
        <is>
          <t>VÄXJÖ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42002-2024</t>
        </is>
      </c>
      <c r="B687" s="1" t="n">
        <v>45561.66087962963</v>
      </c>
      <c r="C687" s="1" t="n">
        <v>46083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52876-2025</t>
        </is>
      </c>
      <c r="B688" s="1" t="n">
        <v>45954</v>
      </c>
      <c r="C688" s="1" t="n">
        <v>46083</v>
      </c>
      <c r="D688" t="inlineStr">
        <is>
          <t>KRONOBERGS LÄN</t>
        </is>
      </c>
      <c r="E688" t="inlineStr">
        <is>
          <t>VÄXJÖ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46184-2025</t>
        </is>
      </c>
      <c r="B689" s="1" t="n">
        <v>45924.65884259259</v>
      </c>
      <c r="C689" s="1" t="n">
        <v>46083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14126-2024</t>
        </is>
      </c>
      <c r="B690" s="1" t="n">
        <v>45392</v>
      </c>
      <c r="C690" s="1" t="n">
        <v>46083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22500-2024</t>
        </is>
      </c>
      <c r="B691" s="1" t="n">
        <v>45447.35372685185</v>
      </c>
      <c r="C691" s="1" t="n">
        <v>46083</v>
      </c>
      <c r="D691" t="inlineStr">
        <is>
          <t>KRONOBERGS LÄN</t>
        </is>
      </c>
      <c r="E691" t="inlineStr">
        <is>
          <t>VÄXJÖ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49620-2023</t>
        </is>
      </c>
      <c r="B692" s="1" t="n">
        <v>45211.85349537037</v>
      </c>
      <c r="C692" s="1" t="n">
        <v>46083</v>
      </c>
      <c r="D692" t="inlineStr">
        <is>
          <t>KRONOBERGS LÄN</t>
        </is>
      </c>
      <c r="E692" t="inlineStr">
        <is>
          <t>VÄXJÖ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28983-2023</t>
        </is>
      </c>
      <c r="B693" s="1" t="n">
        <v>45104.61909722222</v>
      </c>
      <c r="C693" s="1" t="n">
        <v>46083</v>
      </c>
      <c r="D693" t="inlineStr">
        <is>
          <t>KRONOBERGS LÄN</t>
        </is>
      </c>
      <c r="E693" t="inlineStr">
        <is>
          <t>VÄXJÖ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24019-2023</t>
        </is>
      </c>
      <c r="B694" s="1" t="n">
        <v>45078</v>
      </c>
      <c r="C694" s="1" t="n">
        <v>46083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11228-2025</t>
        </is>
      </c>
      <c r="B695" s="1" t="n">
        <v>45726.34802083333</v>
      </c>
      <c r="C695" s="1" t="n">
        <v>46083</v>
      </c>
      <c r="D695" t="inlineStr">
        <is>
          <t>KRONOBERGS LÄN</t>
        </is>
      </c>
      <c r="E695" t="inlineStr">
        <is>
          <t>VÄXJÖ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52988-2025</t>
        </is>
      </c>
      <c r="B696" s="1" t="n">
        <v>45957</v>
      </c>
      <c r="C696" s="1" t="n">
        <v>46083</v>
      </c>
      <c r="D696" t="inlineStr">
        <is>
          <t>KRONOBERGS LÄN</t>
        </is>
      </c>
      <c r="E696" t="inlineStr">
        <is>
          <t>VÄXJÖ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6625-2024</t>
        </is>
      </c>
      <c r="B697" s="1" t="n">
        <v>45341.61912037037</v>
      </c>
      <c r="C697" s="1" t="n">
        <v>46083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33206-2023</t>
        </is>
      </c>
      <c r="B698" s="1" t="n">
        <v>45127.43435185185</v>
      </c>
      <c r="C698" s="1" t="n">
        <v>46083</v>
      </c>
      <c r="D698" t="inlineStr">
        <is>
          <t>KRONOBERGS LÄN</t>
        </is>
      </c>
      <c r="E698" t="inlineStr">
        <is>
          <t>VÄXJÖ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53089-2025</t>
        </is>
      </c>
      <c r="B699" s="1" t="n">
        <v>45958.41775462963</v>
      </c>
      <c r="C699" s="1" t="n">
        <v>46083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36919-2024</t>
        </is>
      </c>
      <c r="B700" s="1" t="n">
        <v>45538</v>
      </c>
      <c r="C700" s="1" t="n">
        <v>46083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33397-2023</t>
        </is>
      </c>
      <c r="B701" s="1" t="n">
        <v>45128.63200231481</v>
      </c>
      <c r="C701" s="1" t="n">
        <v>46083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33398-2023</t>
        </is>
      </c>
      <c r="B702" s="1" t="n">
        <v>45128</v>
      </c>
      <c r="C702" s="1" t="n">
        <v>46083</v>
      </c>
      <c r="D702" t="inlineStr">
        <is>
          <t>KRONOBERGS LÄN</t>
        </is>
      </c>
      <c r="E702" t="inlineStr">
        <is>
          <t>VÄXJÖ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7871-2024</t>
        </is>
      </c>
      <c r="B703" s="1" t="n">
        <v>45350.33565972222</v>
      </c>
      <c r="C703" s="1" t="n">
        <v>46083</v>
      </c>
      <c r="D703" t="inlineStr">
        <is>
          <t>KRONOBERGS LÄN</t>
        </is>
      </c>
      <c r="E703" t="inlineStr">
        <is>
          <t>VÄXJÖ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50916-2025</t>
        </is>
      </c>
      <c r="B704" s="1" t="n">
        <v>45946.66081018518</v>
      </c>
      <c r="C704" s="1" t="n">
        <v>46083</v>
      </c>
      <c r="D704" t="inlineStr">
        <is>
          <t>KRONOBERGS LÄN</t>
        </is>
      </c>
      <c r="E704" t="inlineStr">
        <is>
          <t>VÄXJÖ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13371-2024</t>
        </is>
      </c>
      <c r="B705" s="1" t="n">
        <v>45387.36863425926</v>
      </c>
      <c r="C705" s="1" t="n">
        <v>46083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53295-2025</t>
        </is>
      </c>
      <c r="B706" s="1" t="n">
        <v>45958.84930555556</v>
      </c>
      <c r="C706" s="1" t="n">
        <v>46083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56172-2023</t>
        </is>
      </c>
      <c r="B707" s="1" t="n">
        <v>45240.63111111111</v>
      </c>
      <c r="C707" s="1" t="n">
        <v>46083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53552-2025</t>
        </is>
      </c>
      <c r="B708" s="1" t="n">
        <v>45960.38902777778</v>
      </c>
      <c r="C708" s="1" t="n">
        <v>46083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52312-2025</t>
        </is>
      </c>
      <c r="B709" s="1" t="n">
        <v>45953.65040509259</v>
      </c>
      <c r="C709" s="1" t="n">
        <v>46083</v>
      </c>
      <c r="D709" t="inlineStr">
        <is>
          <t>KRONOBERGS LÄN</t>
        </is>
      </c>
      <c r="E709" t="inlineStr">
        <is>
          <t>VÄXJÖ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32487-2023</t>
        </is>
      </c>
      <c r="B710" s="1" t="n">
        <v>45121</v>
      </c>
      <c r="C710" s="1" t="n">
        <v>46083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32492-2023</t>
        </is>
      </c>
      <c r="B711" s="1" t="n">
        <v>45121</v>
      </c>
      <c r="C711" s="1" t="n">
        <v>46083</v>
      </c>
      <c r="D711" t="inlineStr">
        <is>
          <t>KRONOBERGS LÄN</t>
        </is>
      </c>
      <c r="E711" t="inlineStr">
        <is>
          <t>VÄXJÖ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32496-2023</t>
        </is>
      </c>
      <c r="B712" s="1" t="n">
        <v>45121</v>
      </c>
      <c r="C712" s="1" t="n">
        <v>46083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54112-2025</t>
        </is>
      </c>
      <c r="B713" s="1" t="n">
        <v>45964.43373842593</v>
      </c>
      <c r="C713" s="1" t="n">
        <v>46083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46178-2025</t>
        </is>
      </c>
      <c r="B714" s="1" t="n">
        <v>45924.65366898148</v>
      </c>
      <c r="C714" s="1" t="n">
        <v>46083</v>
      </c>
      <c r="D714" t="inlineStr">
        <is>
          <t>KRONOBERGS LÄN</t>
        </is>
      </c>
      <c r="E714" t="inlineStr">
        <is>
          <t>VÄXJÖ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54182-2025</t>
        </is>
      </c>
      <c r="B715" s="1" t="n">
        <v>45964.56096064814</v>
      </c>
      <c r="C715" s="1" t="n">
        <v>46083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13447-2024</t>
        </is>
      </c>
      <c r="B716" s="1" t="n">
        <v>45387.50104166667</v>
      </c>
      <c r="C716" s="1" t="n">
        <v>46083</v>
      </c>
      <c r="D716" t="inlineStr">
        <is>
          <t>KRONOBERGS LÄN</t>
        </is>
      </c>
      <c r="E716" t="inlineStr">
        <is>
          <t>VÄXJÖ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22738-2024</t>
        </is>
      </c>
      <c r="B717" s="1" t="n">
        <v>45448.3909375</v>
      </c>
      <c r="C717" s="1" t="n">
        <v>46083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5272-2023</t>
        </is>
      </c>
      <c r="B718" s="1" t="n">
        <v>44959.48167824074</v>
      </c>
      <c r="C718" s="1" t="n">
        <v>46083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54312-2025</t>
        </is>
      </c>
      <c r="B719" s="1" t="n">
        <v>45965.3200462963</v>
      </c>
      <c r="C719" s="1" t="n">
        <v>46083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22521-2024</t>
        </is>
      </c>
      <c r="B720" s="1" t="n">
        <v>45447.41501157408</v>
      </c>
      <c r="C720" s="1" t="n">
        <v>46083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54313-2025</t>
        </is>
      </c>
      <c r="B721" s="1" t="n">
        <v>45965.3202662037</v>
      </c>
      <c r="C721" s="1" t="n">
        <v>46083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16590-2023</t>
        </is>
      </c>
      <c r="B722" s="1" t="n">
        <v>45030</v>
      </c>
      <c r="C722" s="1" t="n">
        <v>46083</v>
      </c>
      <c r="D722" t="inlineStr">
        <is>
          <t>KRONOBERGS LÄN</t>
        </is>
      </c>
      <c r="E722" t="inlineStr">
        <is>
          <t>VÄXJÖ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54866-2023</t>
        </is>
      </c>
      <c r="B723" s="1" t="n">
        <v>45236.6053587963</v>
      </c>
      <c r="C723" s="1" t="n">
        <v>46083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39395-2023</t>
        </is>
      </c>
      <c r="B724" s="1" t="n">
        <v>45166.65635416667</v>
      </c>
      <c r="C724" s="1" t="n">
        <v>46083</v>
      </c>
      <c r="D724" t="inlineStr">
        <is>
          <t>KRONOBERGS LÄN</t>
        </is>
      </c>
      <c r="E724" t="inlineStr">
        <is>
          <t>VÄXJÖ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22201-2024</t>
        </is>
      </c>
      <c r="B725" s="1" t="n">
        <v>45446.37311342593</v>
      </c>
      <c r="C725" s="1" t="n">
        <v>46083</v>
      </c>
      <c r="D725" t="inlineStr">
        <is>
          <t>KRONOBERGS LÄN</t>
        </is>
      </c>
      <c r="E725" t="inlineStr">
        <is>
          <t>VÄXJÖ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13975-2024</t>
        </is>
      </c>
      <c r="B726" s="1" t="n">
        <v>45392.39274305556</v>
      </c>
      <c r="C726" s="1" t="n">
        <v>46083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4320-2024</t>
        </is>
      </c>
      <c r="B727" s="1" t="n">
        <v>45324.66358796296</v>
      </c>
      <c r="C727" s="1" t="n">
        <v>46083</v>
      </c>
      <c r="D727" t="inlineStr">
        <is>
          <t>KRONOBERGS LÄN</t>
        </is>
      </c>
      <c r="E727" t="inlineStr">
        <is>
          <t>VÄXJÖ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55459-2025</t>
        </is>
      </c>
      <c r="B728" s="1" t="n">
        <v>45971.51917824074</v>
      </c>
      <c r="C728" s="1" t="n">
        <v>46083</v>
      </c>
      <c r="D728" t="inlineStr">
        <is>
          <t>KRONOBERGS LÄN</t>
        </is>
      </c>
      <c r="E728" t="inlineStr">
        <is>
          <t>VÄXJÖ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19379-2024</t>
        </is>
      </c>
      <c r="B729" s="1" t="n">
        <v>45428</v>
      </c>
      <c r="C729" s="1" t="n">
        <v>46083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40972-2024</t>
        </is>
      </c>
      <c r="B730" s="1" t="n">
        <v>45558.67806712963</v>
      </c>
      <c r="C730" s="1" t="n">
        <v>46083</v>
      </c>
      <c r="D730" t="inlineStr">
        <is>
          <t>KRONOBERGS LÄN</t>
        </is>
      </c>
      <c r="E730" t="inlineStr">
        <is>
          <t>VÄXJÖ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55962-2025</t>
        </is>
      </c>
      <c r="B731" s="1" t="n">
        <v>45973.47957175926</v>
      </c>
      <c r="C731" s="1" t="n">
        <v>46083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2112-2024</t>
        </is>
      </c>
      <c r="B732" s="1" t="n">
        <v>45309.48236111111</v>
      </c>
      <c r="C732" s="1" t="n">
        <v>46083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2114-2024</t>
        </is>
      </c>
      <c r="B733" s="1" t="n">
        <v>45309.48623842592</v>
      </c>
      <c r="C733" s="1" t="n">
        <v>46083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52927-2025</t>
        </is>
      </c>
      <c r="B734" s="1" t="n">
        <v>45954</v>
      </c>
      <c r="C734" s="1" t="n">
        <v>46083</v>
      </c>
      <c r="D734" t="inlineStr">
        <is>
          <t>KRONOBERGS LÄN</t>
        </is>
      </c>
      <c r="E734" t="inlineStr">
        <is>
          <t>VÄXJÖ</t>
        </is>
      </c>
      <c r="F734" t="inlineStr">
        <is>
          <t>Kyrkan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56225-2025</t>
        </is>
      </c>
      <c r="B735" s="1" t="n">
        <v>45974.50296296296</v>
      </c>
      <c r="C735" s="1" t="n">
        <v>46083</v>
      </c>
      <c r="D735" t="inlineStr">
        <is>
          <t>KRONOBERGS LÄN</t>
        </is>
      </c>
      <c r="E735" t="inlineStr">
        <is>
          <t>VÄXJÖ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56220-2025</t>
        </is>
      </c>
      <c r="B736" s="1" t="n">
        <v>45974.49704861111</v>
      </c>
      <c r="C736" s="1" t="n">
        <v>46083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56150-2025</t>
        </is>
      </c>
      <c r="B737" s="1" t="n">
        <v>45974.35180555555</v>
      </c>
      <c r="C737" s="1" t="n">
        <v>46083</v>
      </c>
      <c r="D737" t="inlineStr">
        <is>
          <t>KRONOBERGS LÄN</t>
        </is>
      </c>
      <c r="E737" t="inlineStr">
        <is>
          <t>VÄXJÖ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31126-2023</t>
        </is>
      </c>
      <c r="B738" s="1" t="n">
        <v>45113</v>
      </c>
      <c r="C738" s="1" t="n">
        <v>46083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56068-2025</t>
        </is>
      </c>
      <c r="B739" s="1" t="n">
        <v>45973.64590277777</v>
      </c>
      <c r="C739" s="1" t="n">
        <v>46083</v>
      </c>
      <c r="D739" t="inlineStr">
        <is>
          <t>KRONOBERGS LÄN</t>
        </is>
      </c>
      <c r="E739" t="inlineStr">
        <is>
          <t>VÄXJÖ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17775-2023</t>
        </is>
      </c>
      <c r="B740" s="1" t="n">
        <v>45037</v>
      </c>
      <c r="C740" s="1" t="n">
        <v>46083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17778-2023</t>
        </is>
      </c>
      <c r="B741" s="1" t="n">
        <v>45037.5341087963</v>
      </c>
      <c r="C741" s="1" t="n">
        <v>46083</v>
      </c>
      <c r="D741" t="inlineStr">
        <is>
          <t>KRONOBERGS LÄN</t>
        </is>
      </c>
      <c r="E741" t="inlineStr">
        <is>
          <t>VÄXJÖ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56472-2025</t>
        </is>
      </c>
      <c r="B742" s="1" t="n">
        <v>45975.37895833333</v>
      </c>
      <c r="C742" s="1" t="n">
        <v>46083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56970-2025</t>
        </is>
      </c>
      <c r="B743" s="1" t="n">
        <v>45978.67876157408</v>
      </c>
      <c r="C743" s="1" t="n">
        <v>46083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52996-2023</t>
        </is>
      </c>
      <c r="B744" s="1" t="n">
        <v>45222</v>
      </c>
      <c r="C744" s="1" t="n">
        <v>46083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64278-2023</t>
        </is>
      </c>
      <c r="B745" s="1" t="n">
        <v>45280</v>
      </c>
      <c r="C745" s="1" t="n">
        <v>46083</v>
      </c>
      <c r="D745" t="inlineStr">
        <is>
          <t>KRONOBERGS LÄN</t>
        </is>
      </c>
      <c r="E745" t="inlineStr">
        <is>
          <t>VÄXJÖ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10566-2023</t>
        </is>
      </c>
      <c r="B746" s="1" t="n">
        <v>44988.31290509259</v>
      </c>
      <c r="C746" s="1" t="n">
        <v>46083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33223-2023</t>
        </is>
      </c>
      <c r="B747" s="1" t="n">
        <v>45127</v>
      </c>
      <c r="C747" s="1" t="n">
        <v>46083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19400-2024</t>
        </is>
      </c>
      <c r="B748" s="1" t="n">
        <v>45428</v>
      </c>
      <c r="C748" s="1" t="n">
        <v>46083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56464-2025</t>
        </is>
      </c>
      <c r="B749" s="1" t="n">
        <v>45975.37184027778</v>
      </c>
      <c r="C749" s="1" t="n">
        <v>46083</v>
      </c>
      <c r="D749" t="inlineStr">
        <is>
          <t>KRONOBERGS LÄN</t>
        </is>
      </c>
      <c r="E749" t="inlineStr">
        <is>
          <t>VÄXJÖ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19111-2023</t>
        </is>
      </c>
      <c r="B750" s="1" t="n">
        <v>45048</v>
      </c>
      <c r="C750" s="1" t="n">
        <v>46083</v>
      </c>
      <c r="D750" t="inlineStr">
        <is>
          <t>KRONOBERGS LÄN</t>
        </is>
      </c>
      <c r="E750" t="inlineStr">
        <is>
          <t>VÄXJÖ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57242-2025</t>
        </is>
      </c>
      <c r="B751" s="1" t="n">
        <v>45979.62671296296</v>
      </c>
      <c r="C751" s="1" t="n">
        <v>46083</v>
      </c>
      <c r="D751" t="inlineStr">
        <is>
          <t>KRONOBERGS LÄN</t>
        </is>
      </c>
      <c r="E751" t="inlineStr">
        <is>
          <t>VÄXJÖ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57279-2025</t>
        </is>
      </c>
      <c r="B752" s="1" t="n">
        <v>45979.69785879629</v>
      </c>
      <c r="C752" s="1" t="n">
        <v>46083</v>
      </c>
      <c r="D752" t="inlineStr">
        <is>
          <t>KRONOBERGS LÄN</t>
        </is>
      </c>
      <c r="E752" t="inlineStr">
        <is>
          <t>VÄXJÖ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57281-2025</t>
        </is>
      </c>
      <c r="B753" s="1" t="n">
        <v>45979.70398148148</v>
      </c>
      <c r="C753" s="1" t="n">
        <v>46083</v>
      </c>
      <c r="D753" t="inlineStr">
        <is>
          <t>KRONOBERGS LÄN</t>
        </is>
      </c>
      <c r="E753" t="inlineStr">
        <is>
          <t>VÄXJÖ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57239-2025</t>
        </is>
      </c>
      <c r="B754" s="1" t="n">
        <v>45979.62482638889</v>
      </c>
      <c r="C754" s="1" t="n">
        <v>46083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57473-2025</t>
        </is>
      </c>
      <c r="B755" s="1" t="n">
        <v>45980.56653935185</v>
      </c>
      <c r="C755" s="1" t="n">
        <v>46083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59366-2024</t>
        </is>
      </c>
      <c r="B756" s="1" t="n">
        <v>45638.33574074074</v>
      </c>
      <c r="C756" s="1" t="n">
        <v>46083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57514-2025</t>
        </is>
      </c>
      <c r="B757" s="1" t="n">
        <v>45980.61280092593</v>
      </c>
      <c r="C757" s="1" t="n">
        <v>46083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4171-2025</t>
        </is>
      </c>
      <c r="B758" s="1" t="n">
        <v>45685.42418981482</v>
      </c>
      <c r="C758" s="1" t="n">
        <v>46083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53189-2024</t>
        </is>
      </c>
      <c r="B759" s="1" t="n">
        <v>45611.70842592593</v>
      </c>
      <c r="C759" s="1" t="n">
        <v>46083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38880-2023</t>
        </is>
      </c>
      <c r="B760" s="1" t="n">
        <v>45161</v>
      </c>
      <c r="C760" s="1" t="n">
        <v>46083</v>
      </c>
      <c r="D760" t="inlineStr">
        <is>
          <t>KRONOBERGS LÄN</t>
        </is>
      </c>
      <c r="E760" t="inlineStr">
        <is>
          <t>VÄXJÖ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50503-2022</t>
        </is>
      </c>
      <c r="B761" s="1" t="n">
        <v>44866.54954861111</v>
      </c>
      <c r="C761" s="1" t="n">
        <v>46083</v>
      </c>
      <c r="D761" t="inlineStr">
        <is>
          <t>KRONOBERGS LÄN</t>
        </is>
      </c>
      <c r="E761" t="inlineStr">
        <is>
          <t>VÄXJÖ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34464-2023</t>
        </is>
      </c>
      <c r="B762" s="1" t="n">
        <v>45139.7190625</v>
      </c>
      <c r="C762" s="1" t="n">
        <v>46083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30680-2023</t>
        </is>
      </c>
      <c r="B763" s="1" t="n">
        <v>45112</v>
      </c>
      <c r="C763" s="1" t="n">
        <v>46083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58594-2025</t>
        </is>
      </c>
      <c r="B764" s="1" t="n">
        <v>45986.4149537037</v>
      </c>
      <c r="C764" s="1" t="n">
        <v>46083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46083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46044-2024</t>
        </is>
      </c>
      <c r="B766" s="1" t="n">
        <v>45580.83032407407</v>
      </c>
      <c r="C766" s="1" t="n">
        <v>46083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14686-2023</t>
        </is>
      </c>
      <c r="B767" s="1" t="n">
        <v>45014</v>
      </c>
      <c r="C767" s="1" t="n">
        <v>46083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3070-2024</t>
        </is>
      </c>
      <c r="B768" s="1" t="n">
        <v>45316.42096064815</v>
      </c>
      <c r="C768" s="1" t="n">
        <v>46083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58415-2025</t>
        </is>
      </c>
      <c r="B769" s="1" t="n">
        <v>45985.57862268519</v>
      </c>
      <c r="C769" s="1" t="n">
        <v>46083</v>
      </c>
      <c r="D769" t="inlineStr">
        <is>
          <t>KRONOBERGS LÄN</t>
        </is>
      </c>
      <c r="E769" t="inlineStr">
        <is>
          <t>VÄXJÖ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5165-2024</t>
        </is>
      </c>
      <c r="B770" s="1" t="n">
        <v>45330</v>
      </c>
      <c r="C770" s="1" t="n">
        <v>46083</v>
      </c>
      <c r="D770" t="inlineStr">
        <is>
          <t>KRONOBERGS LÄN</t>
        </is>
      </c>
      <c r="E770" t="inlineStr">
        <is>
          <t>VÄXJÖ</t>
        </is>
      </c>
      <c r="F770" t="inlineStr">
        <is>
          <t>Övriga Aktiebolag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51416-2023</t>
        </is>
      </c>
      <c r="B771" s="1" t="n">
        <v>45219</v>
      </c>
      <c r="C771" s="1" t="n">
        <v>46083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5094-2024</t>
        </is>
      </c>
      <c r="B772" s="1" t="n">
        <v>45330</v>
      </c>
      <c r="C772" s="1" t="n">
        <v>46083</v>
      </c>
      <c r="D772" t="inlineStr">
        <is>
          <t>KRONOBERGS LÄN</t>
        </is>
      </c>
      <c r="E772" t="inlineStr">
        <is>
          <t>VÄXJÖ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60767-2024</t>
        </is>
      </c>
      <c r="B773" s="1" t="n">
        <v>45644.57841435185</v>
      </c>
      <c r="C773" s="1" t="n">
        <v>46083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47868-2023</t>
        </is>
      </c>
      <c r="B774" s="1" t="n">
        <v>45198</v>
      </c>
      <c r="C774" s="1" t="n">
        <v>46083</v>
      </c>
      <c r="D774" t="inlineStr">
        <is>
          <t>KRONOBERGS LÄN</t>
        </is>
      </c>
      <c r="E774" t="inlineStr">
        <is>
          <t>VÄXJÖ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53287-2025</t>
        </is>
      </c>
      <c r="B775" s="1" t="n">
        <v>45958.78780092593</v>
      </c>
      <c r="C775" s="1" t="n">
        <v>46083</v>
      </c>
      <c r="D775" t="inlineStr">
        <is>
          <t>KRONOBERGS LÄN</t>
        </is>
      </c>
      <c r="E775" t="inlineStr">
        <is>
          <t>VÄXJÖ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13993-2023</t>
        </is>
      </c>
      <c r="B776" s="1" t="n">
        <v>45008.52043981481</v>
      </c>
      <c r="C776" s="1" t="n">
        <v>46083</v>
      </c>
      <c r="D776" t="inlineStr">
        <is>
          <t>KRONOBERGS LÄN</t>
        </is>
      </c>
      <c r="E776" t="inlineStr">
        <is>
          <t>VÄXJÖ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12704-2023</t>
        </is>
      </c>
      <c r="B777" s="1" t="n">
        <v>45000</v>
      </c>
      <c r="C777" s="1" t="n">
        <v>46083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8037-2022</t>
        </is>
      </c>
      <c r="B778" s="1" t="n">
        <v>44609</v>
      </c>
      <c r="C778" s="1" t="n">
        <v>46083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12916-2025</t>
        </is>
      </c>
      <c r="B779" s="1" t="n">
        <v>45733.84600694444</v>
      </c>
      <c r="C779" s="1" t="n">
        <v>46083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10892-2025</t>
        </is>
      </c>
      <c r="B780" s="1" t="n">
        <v>45722.67716435185</v>
      </c>
      <c r="C780" s="1" t="n">
        <v>46083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17504-2023</t>
        </is>
      </c>
      <c r="B781" s="1" t="n">
        <v>45036</v>
      </c>
      <c r="C781" s="1" t="n">
        <v>46083</v>
      </c>
      <c r="D781" t="inlineStr">
        <is>
          <t>KRONOBERGS LÄN</t>
        </is>
      </c>
      <c r="E781" t="inlineStr">
        <is>
          <t>VÄXJÖ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57817-2024</t>
        </is>
      </c>
      <c r="B782" s="1" t="n">
        <v>45631.38008101852</v>
      </c>
      <c r="C782" s="1" t="n">
        <v>46083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21768-2023</t>
        </is>
      </c>
      <c r="B783" s="1" t="n">
        <v>45065</v>
      </c>
      <c r="C783" s="1" t="n">
        <v>46083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16200-2023</t>
        </is>
      </c>
      <c r="B784" s="1" t="n">
        <v>45028</v>
      </c>
      <c r="C784" s="1" t="n">
        <v>46083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49001-2024</t>
        </is>
      </c>
      <c r="B785" s="1" t="n">
        <v>45594.49429398148</v>
      </c>
      <c r="C785" s="1" t="n">
        <v>46083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49005-2024</t>
        </is>
      </c>
      <c r="B786" s="1" t="n">
        <v>45594.49712962963</v>
      </c>
      <c r="C786" s="1" t="n">
        <v>46083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49009-2024</t>
        </is>
      </c>
      <c r="B787" s="1" t="n">
        <v>45594.50039351852</v>
      </c>
      <c r="C787" s="1" t="n">
        <v>46083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49014-2024</t>
        </is>
      </c>
      <c r="B788" s="1" t="n">
        <v>45594.50556712963</v>
      </c>
      <c r="C788" s="1" t="n">
        <v>46083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49015-2024</t>
        </is>
      </c>
      <c r="B789" s="1" t="n">
        <v>45594.50665509259</v>
      </c>
      <c r="C789" s="1" t="n">
        <v>46083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49086-2024</t>
        </is>
      </c>
      <c r="B790" s="1" t="n">
        <v>45594.63260416667</v>
      </c>
      <c r="C790" s="1" t="n">
        <v>46083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49018-2024</t>
        </is>
      </c>
      <c r="B791" s="1" t="n">
        <v>45594.50951388889</v>
      </c>
      <c r="C791" s="1" t="n">
        <v>46083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49087-2024</t>
        </is>
      </c>
      <c r="B792" s="1" t="n">
        <v>45594.6340625</v>
      </c>
      <c r="C792" s="1" t="n">
        <v>46083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59948-2025</t>
        </is>
      </c>
      <c r="B793" s="1" t="n">
        <v>45993.45324074074</v>
      </c>
      <c r="C793" s="1" t="n">
        <v>46083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60003-2025</t>
        </is>
      </c>
      <c r="B794" s="1" t="n">
        <v>45993.58273148148</v>
      </c>
      <c r="C794" s="1" t="n">
        <v>46083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31753-2024</t>
        </is>
      </c>
      <c r="B795" s="1" t="n">
        <v>45509</v>
      </c>
      <c r="C795" s="1" t="n">
        <v>46083</v>
      </c>
      <c r="D795" t="inlineStr">
        <is>
          <t>KRONOBERGS LÄN</t>
        </is>
      </c>
      <c r="E795" t="inlineStr">
        <is>
          <t>VÄXJÖ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59122-2025</t>
        </is>
      </c>
      <c r="B796" s="1" t="n">
        <v>45988.49306712963</v>
      </c>
      <c r="C796" s="1" t="n">
        <v>46083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60733-2024</t>
        </is>
      </c>
      <c r="B797" s="1" t="n">
        <v>45644.54353009259</v>
      </c>
      <c r="C797" s="1" t="n">
        <v>46083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49008-2024</t>
        </is>
      </c>
      <c r="B798" s="1" t="n">
        <v>45594.49958333333</v>
      </c>
      <c r="C798" s="1" t="n">
        <v>46083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49020-2024</t>
        </is>
      </c>
      <c r="B799" s="1" t="n">
        <v>45594.51133101852</v>
      </c>
      <c r="C799" s="1" t="n">
        <v>46083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49024-2024</t>
        </is>
      </c>
      <c r="B800" s="1" t="n">
        <v>45594.51443287037</v>
      </c>
      <c r="C800" s="1" t="n">
        <v>46083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58405-2025</t>
        </is>
      </c>
      <c r="B801" s="1" t="n">
        <v>45985.56792824074</v>
      </c>
      <c r="C801" s="1" t="n">
        <v>46083</v>
      </c>
      <c r="D801" t="inlineStr">
        <is>
          <t>KRONOBERGS LÄN</t>
        </is>
      </c>
      <c r="E801" t="inlineStr">
        <is>
          <t>VÄXJÖ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60468-2025</t>
        </is>
      </c>
      <c r="B802" s="1" t="n">
        <v>45995</v>
      </c>
      <c r="C802" s="1" t="n">
        <v>46083</v>
      </c>
      <c r="D802" t="inlineStr">
        <is>
          <t>KRONOBERGS LÄN</t>
        </is>
      </c>
      <c r="E802" t="inlineStr">
        <is>
          <t>VÄXJÖ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4654-2024</t>
        </is>
      </c>
      <c r="B803" s="1" t="n">
        <v>45327</v>
      </c>
      <c r="C803" s="1" t="n">
        <v>46083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20372-2024</t>
        </is>
      </c>
      <c r="B804" s="1" t="n">
        <v>45435</v>
      </c>
      <c r="C804" s="1" t="n">
        <v>46083</v>
      </c>
      <c r="D804" t="inlineStr">
        <is>
          <t>KRONOBERGS LÄN</t>
        </is>
      </c>
      <c r="E804" t="inlineStr">
        <is>
          <t>VÄXJÖ</t>
        </is>
      </c>
      <c r="F804" t="inlineStr">
        <is>
          <t>Kyrkan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50465-2024</t>
        </is>
      </c>
      <c r="B805" s="1" t="n">
        <v>45601.46222222222</v>
      </c>
      <c r="C805" s="1" t="n">
        <v>46083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60650-2025</t>
        </is>
      </c>
      <c r="B806" s="1" t="n">
        <v>45995</v>
      </c>
      <c r="C806" s="1" t="n">
        <v>46083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3058-2024</t>
        </is>
      </c>
      <c r="B807" s="1" t="n">
        <v>45316</v>
      </c>
      <c r="C807" s="1" t="n">
        <v>46083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60793-2025</t>
        </is>
      </c>
      <c r="B808" s="1" t="n">
        <v>45999.4191087963</v>
      </c>
      <c r="C808" s="1" t="n">
        <v>46083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3067-2024</t>
        </is>
      </c>
      <c r="B809" s="1" t="n">
        <v>45316.41688657407</v>
      </c>
      <c r="C809" s="1" t="n">
        <v>46083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20397-2023</t>
        </is>
      </c>
      <c r="B810" s="1" t="n">
        <v>45056.60450231482</v>
      </c>
      <c r="C810" s="1" t="n">
        <v>46083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55958-2024</t>
        </is>
      </c>
      <c r="B811" s="1" t="n">
        <v>45623.63510416666</v>
      </c>
      <c r="C811" s="1" t="n">
        <v>46083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13722-2021</t>
        </is>
      </c>
      <c r="B812" s="1" t="n">
        <v>44274</v>
      </c>
      <c r="C812" s="1" t="n">
        <v>46083</v>
      </c>
      <c r="D812" t="inlineStr">
        <is>
          <t>KRONOBERGS LÄN</t>
        </is>
      </c>
      <c r="E812" t="inlineStr">
        <is>
          <t>VÄXJÖ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48264-2022</t>
        </is>
      </c>
      <c r="B813" s="1" t="n">
        <v>44858.48517361111</v>
      </c>
      <c r="C813" s="1" t="n">
        <v>46083</v>
      </c>
      <c r="D813" t="inlineStr">
        <is>
          <t>KRONOBERGS LÄN</t>
        </is>
      </c>
      <c r="E813" t="inlineStr">
        <is>
          <t>VÄXJÖ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61095-2025</t>
        </is>
      </c>
      <c r="B814" s="1" t="n">
        <v>46000.43627314815</v>
      </c>
      <c r="C814" s="1" t="n">
        <v>46083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33005-2024</t>
        </is>
      </c>
      <c r="B815" s="1" t="n">
        <v>45517.49451388889</v>
      </c>
      <c r="C815" s="1" t="n">
        <v>46083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11519-2024</t>
        </is>
      </c>
      <c r="B816" s="1" t="n">
        <v>45372.83673611111</v>
      </c>
      <c r="C816" s="1" t="n">
        <v>46083</v>
      </c>
      <c r="D816" t="inlineStr">
        <is>
          <t>KRONOBERGS LÄN</t>
        </is>
      </c>
      <c r="E816" t="inlineStr">
        <is>
          <t>VÄXJÖ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4469-2025</t>
        </is>
      </c>
      <c r="B817" s="1" t="n">
        <v>45686.61557870371</v>
      </c>
      <c r="C817" s="1" t="n">
        <v>46083</v>
      </c>
      <c r="D817" t="inlineStr">
        <is>
          <t>KRONOBERGS LÄN</t>
        </is>
      </c>
      <c r="E817" t="inlineStr">
        <is>
          <t>VÄXJÖ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30755-2022</t>
        </is>
      </c>
      <c r="B818" s="1" t="n">
        <v>44764</v>
      </c>
      <c r="C818" s="1" t="n">
        <v>46083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26980-2023</t>
        </is>
      </c>
      <c r="B819" s="1" t="n">
        <v>45091</v>
      </c>
      <c r="C819" s="1" t="n">
        <v>46083</v>
      </c>
      <c r="D819" t="inlineStr">
        <is>
          <t>KRONOBERGS LÄN</t>
        </is>
      </c>
      <c r="E819" t="inlineStr">
        <is>
          <t>VÄXJÖ</t>
        </is>
      </c>
      <c r="F819" t="inlineStr">
        <is>
          <t>Kyrkan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3133-2026</t>
        </is>
      </c>
      <c r="B820" s="1" t="n">
        <v>46041.39274305556</v>
      </c>
      <c r="C820" s="1" t="n">
        <v>46083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3137-2026</t>
        </is>
      </c>
      <c r="B821" s="1" t="n">
        <v>46041.39855324074</v>
      </c>
      <c r="C821" s="1" t="n">
        <v>46083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45623-2024</t>
        </is>
      </c>
      <c r="B822" s="1" t="n">
        <v>45579</v>
      </c>
      <c r="C822" s="1" t="n">
        <v>46083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12999-2024</t>
        </is>
      </c>
      <c r="B823" s="1" t="n">
        <v>45385</v>
      </c>
      <c r="C823" s="1" t="n">
        <v>46083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13015-2024</t>
        </is>
      </c>
      <c r="B824" s="1" t="n">
        <v>45385</v>
      </c>
      <c r="C824" s="1" t="n">
        <v>46083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3856-2026</t>
        </is>
      </c>
      <c r="B825" s="1" t="n">
        <v>46043.61449074074</v>
      </c>
      <c r="C825" s="1" t="n">
        <v>46083</v>
      </c>
      <c r="D825" t="inlineStr">
        <is>
          <t>KRONOBERGS LÄN</t>
        </is>
      </c>
      <c r="E825" t="inlineStr">
        <is>
          <t>VÄXJÖ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61563-2025</t>
        </is>
      </c>
      <c r="B826" s="1" t="n">
        <v>46001.90539351852</v>
      </c>
      <c r="C826" s="1" t="n">
        <v>46083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21186-2024</t>
        </is>
      </c>
      <c r="B827" s="1" t="n">
        <v>45440.48216435185</v>
      </c>
      <c r="C827" s="1" t="n">
        <v>46083</v>
      </c>
      <c r="D827" t="inlineStr">
        <is>
          <t>KRONOBERGS LÄN</t>
        </is>
      </c>
      <c r="E827" t="inlineStr">
        <is>
          <t>VÄXJÖ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3238-2025</t>
        </is>
      </c>
      <c r="B828" s="1" t="n">
        <v>45679.49554398148</v>
      </c>
      <c r="C828" s="1" t="n">
        <v>46083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49961-2023</t>
        </is>
      </c>
      <c r="B829" s="1" t="n">
        <v>45215</v>
      </c>
      <c r="C829" s="1" t="n">
        <v>46083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53252-2022</t>
        </is>
      </c>
      <c r="B830" s="1" t="n">
        <v>44876.69168981481</v>
      </c>
      <c r="C830" s="1" t="n">
        <v>46083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4310-2026</t>
        </is>
      </c>
      <c r="B831" s="1" t="n">
        <v>46045.44012731482</v>
      </c>
      <c r="C831" s="1" t="n">
        <v>46083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3893-2025</t>
        </is>
      </c>
      <c r="B832" s="1" t="n">
        <v>45684.37877314815</v>
      </c>
      <c r="C832" s="1" t="n">
        <v>46083</v>
      </c>
      <c r="D832" t="inlineStr">
        <is>
          <t>KRONOBERGS LÄN</t>
        </is>
      </c>
      <c r="E832" t="inlineStr">
        <is>
          <t>VÄXJÖ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3105-2025</t>
        </is>
      </c>
      <c r="B833" s="1" t="n">
        <v>45678</v>
      </c>
      <c r="C833" s="1" t="n">
        <v>46083</v>
      </c>
      <c r="D833" t="inlineStr">
        <is>
          <t>KRONOBERGS LÄN</t>
        </is>
      </c>
      <c r="E833" t="inlineStr">
        <is>
          <t>VÄXJÖ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3106-2025</t>
        </is>
      </c>
      <c r="B834" s="1" t="n">
        <v>45678</v>
      </c>
      <c r="C834" s="1" t="n">
        <v>46083</v>
      </c>
      <c r="D834" t="inlineStr">
        <is>
          <t>KRONOBERGS LÄN</t>
        </is>
      </c>
      <c r="E834" t="inlineStr">
        <is>
          <t>VÄXJÖ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3108-2025</t>
        </is>
      </c>
      <c r="B835" s="1" t="n">
        <v>45678</v>
      </c>
      <c r="C835" s="1" t="n">
        <v>46083</v>
      </c>
      <c r="D835" t="inlineStr">
        <is>
          <t>KRONOBERGS LÄN</t>
        </is>
      </c>
      <c r="E835" t="inlineStr">
        <is>
          <t>VÄXJÖ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30676-2024</t>
        </is>
      </c>
      <c r="B836" s="1" t="n">
        <v>45495.89736111111</v>
      </c>
      <c r="C836" s="1" t="n">
        <v>46083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49068-2023</t>
        </is>
      </c>
      <c r="B837" s="1" t="n">
        <v>45210</v>
      </c>
      <c r="C837" s="1" t="n">
        <v>46083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16767-2025</t>
        </is>
      </c>
      <c r="B838" s="1" t="n">
        <v>45754</v>
      </c>
      <c r="C838" s="1" t="n">
        <v>46083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4457-2026</t>
        </is>
      </c>
      <c r="B839" s="1" t="n">
        <v>46045.64295138889</v>
      </c>
      <c r="C839" s="1" t="n">
        <v>46083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57034-2023</t>
        </is>
      </c>
      <c r="B840" s="1" t="n">
        <v>45244.871875</v>
      </c>
      <c r="C840" s="1" t="n">
        <v>46083</v>
      </c>
      <c r="D840" t="inlineStr">
        <is>
          <t>KRONOBERGS LÄN</t>
        </is>
      </c>
      <c r="E840" t="inlineStr">
        <is>
          <t>VÄXJÖ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17511-2022</t>
        </is>
      </c>
      <c r="B841" s="1" t="n">
        <v>44679</v>
      </c>
      <c r="C841" s="1" t="n">
        <v>46083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17283-2022</t>
        </is>
      </c>
      <c r="B842" s="1" t="n">
        <v>44678.43256944444</v>
      </c>
      <c r="C842" s="1" t="n">
        <v>46083</v>
      </c>
      <c r="D842" t="inlineStr">
        <is>
          <t>KRONOBERGS LÄN</t>
        </is>
      </c>
      <c r="E842" t="inlineStr">
        <is>
          <t>VÄXJÖ</t>
        </is>
      </c>
      <c r="G842" t="n">
        <v>10.8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20382-2025</t>
        </is>
      </c>
      <c r="B843" s="1" t="n">
        <v>45775.43115740741</v>
      </c>
      <c r="C843" s="1" t="n">
        <v>46083</v>
      </c>
      <c r="D843" t="inlineStr">
        <is>
          <t>KRONOBERGS LÄN</t>
        </is>
      </c>
      <c r="E843" t="inlineStr">
        <is>
          <t>VÄXJÖ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4828-2025</t>
        </is>
      </c>
      <c r="B844" s="1" t="n">
        <v>45688.64172453704</v>
      </c>
      <c r="C844" s="1" t="n">
        <v>46083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21266-2022</t>
        </is>
      </c>
      <c r="B845" s="1" t="n">
        <v>44705</v>
      </c>
      <c r="C845" s="1" t="n">
        <v>46083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35913-2022</t>
        </is>
      </c>
      <c r="B846" s="1" t="n">
        <v>44802.50060185185</v>
      </c>
      <c r="C846" s="1" t="n">
        <v>46083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18058-2024</t>
        </is>
      </c>
      <c r="B847" s="1" t="n">
        <v>45420.39758101852</v>
      </c>
      <c r="C847" s="1" t="n">
        <v>46083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34549-2023</t>
        </is>
      </c>
      <c r="B848" s="1" t="n">
        <v>45140.49438657407</v>
      </c>
      <c r="C848" s="1" t="n">
        <v>46083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4684-2025</t>
        </is>
      </c>
      <c r="B849" s="1" t="n">
        <v>45687.94340277778</v>
      </c>
      <c r="C849" s="1" t="n">
        <v>46083</v>
      </c>
      <c r="D849" t="inlineStr">
        <is>
          <t>KRONOBERGS LÄN</t>
        </is>
      </c>
      <c r="E849" t="inlineStr">
        <is>
          <t>VÄXJÖ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5192-2026</t>
        </is>
      </c>
      <c r="B850" s="1" t="n">
        <v>46049</v>
      </c>
      <c r="C850" s="1" t="n">
        <v>46083</v>
      </c>
      <c r="D850" t="inlineStr">
        <is>
          <t>KRONOBERGS LÄN</t>
        </is>
      </c>
      <c r="E850" t="inlineStr">
        <is>
          <t>VÄXJÖ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62714-2025</t>
        </is>
      </c>
      <c r="B851" s="1" t="n">
        <v>46008.51371527778</v>
      </c>
      <c r="C851" s="1" t="n">
        <v>46083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4457-2025</t>
        </is>
      </c>
      <c r="B852" s="1" t="n">
        <v>45686.59162037037</v>
      </c>
      <c r="C852" s="1" t="n">
        <v>46083</v>
      </c>
      <c r="D852" t="inlineStr">
        <is>
          <t>KRONOBERGS LÄN</t>
        </is>
      </c>
      <c r="E852" t="inlineStr">
        <is>
          <t>VÄXJÖ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4468-2025</t>
        </is>
      </c>
      <c r="B853" s="1" t="n">
        <v>45686.60993055555</v>
      </c>
      <c r="C853" s="1" t="n">
        <v>46083</v>
      </c>
      <c r="D853" t="inlineStr">
        <is>
          <t>KRONOBERGS LÄN</t>
        </is>
      </c>
      <c r="E853" t="inlineStr">
        <is>
          <t>VÄXJÖ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62569-2025</t>
        </is>
      </c>
      <c r="B854" s="1" t="n">
        <v>46007.70440972222</v>
      </c>
      <c r="C854" s="1" t="n">
        <v>46083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5182-2026</t>
        </is>
      </c>
      <c r="B855" s="1" t="n">
        <v>46049.65488425926</v>
      </c>
      <c r="C855" s="1" t="n">
        <v>46083</v>
      </c>
      <c r="D855" t="inlineStr">
        <is>
          <t>KRONOBERGS LÄN</t>
        </is>
      </c>
      <c r="E855" t="inlineStr">
        <is>
          <t>VÄXJÖ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62593-2025</t>
        </is>
      </c>
      <c r="B856" s="1" t="n">
        <v>46007.88928240741</v>
      </c>
      <c r="C856" s="1" t="n">
        <v>46083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24905-2023</t>
        </is>
      </c>
      <c r="B857" s="1" t="n">
        <v>45085.48240740741</v>
      </c>
      <c r="C857" s="1" t="n">
        <v>46083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59146-2024</t>
        </is>
      </c>
      <c r="B858" s="1" t="n">
        <v>45637.45240740741</v>
      </c>
      <c r="C858" s="1" t="n">
        <v>46083</v>
      </c>
      <c r="D858" t="inlineStr">
        <is>
          <t>KRONOBERGS LÄN</t>
        </is>
      </c>
      <c r="E858" t="inlineStr">
        <is>
          <t>VÄXJÖ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62592-2025</t>
        </is>
      </c>
      <c r="B859" s="1" t="n">
        <v>46007.88805555556</v>
      </c>
      <c r="C859" s="1" t="n">
        <v>46083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16945-2022</t>
        </is>
      </c>
      <c r="B860" s="1" t="n">
        <v>44676.47767361111</v>
      </c>
      <c r="C860" s="1" t="n">
        <v>46083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5196-2026</t>
        </is>
      </c>
      <c r="B861" s="1" t="n">
        <v>46049.66483796296</v>
      </c>
      <c r="C861" s="1" t="n">
        <v>46083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9960-2022</t>
        </is>
      </c>
      <c r="B862" s="1" t="n">
        <v>44620</v>
      </c>
      <c r="C862" s="1" t="n">
        <v>46083</v>
      </c>
      <c r="D862" t="inlineStr">
        <is>
          <t>KRONOBERGS LÄN</t>
        </is>
      </c>
      <c r="E862" t="inlineStr">
        <is>
          <t>VÄXJÖ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5128-2026</t>
        </is>
      </c>
      <c r="B863" s="1" t="n">
        <v>46048</v>
      </c>
      <c r="C863" s="1" t="n">
        <v>46083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62431-2025</t>
        </is>
      </c>
      <c r="B864" s="1" t="n">
        <v>46007</v>
      </c>
      <c r="C864" s="1" t="n">
        <v>46083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5179-2026</t>
        </is>
      </c>
      <c r="B865" s="1" t="n">
        <v>46049.65270833333</v>
      </c>
      <c r="C865" s="1" t="n">
        <v>46083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59294-2023</t>
        </is>
      </c>
      <c r="B866" s="1" t="n">
        <v>45253.57648148148</v>
      </c>
      <c r="C866" s="1" t="n">
        <v>46083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58046-2023</t>
        </is>
      </c>
      <c r="B867" s="1" t="n">
        <v>45247</v>
      </c>
      <c r="C867" s="1" t="n">
        <v>46083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57834-2024</t>
        </is>
      </c>
      <c r="B868" s="1" t="n">
        <v>45631.39725694444</v>
      </c>
      <c r="C868" s="1" t="n">
        <v>46083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16948-2022</t>
        </is>
      </c>
      <c r="B869" s="1" t="n">
        <v>44676</v>
      </c>
      <c r="C869" s="1" t="n">
        <v>46083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54757-2023</t>
        </is>
      </c>
      <c r="B870" s="1" t="n">
        <v>45236.44059027778</v>
      </c>
      <c r="C870" s="1" t="n">
        <v>46083</v>
      </c>
      <c r="D870" t="inlineStr">
        <is>
          <t>KRONOBERGS LÄN</t>
        </is>
      </c>
      <c r="E870" t="inlineStr">
        <is>
          <t>VÄXJÖ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54759-2023</t>
        </is>
      </c>
      <c r="B871" s="1" t="n">
        <v>45236.44439814815</v>
      </c>
      <c r="C871" s="1" t="n">
        <v>46083</v>
      </c>
      <c r="D871" t="inlineStr">
        <is>
          <t>KRONOBERGS LÄN</t>
        </is>
      </c>
      <c r="E871" t="inlineStr">
        <is>
          <t>VÄXJÖ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63230-2025</t>
        </is>
      </c>
      <c r="B872" s="1" t="n">
        <v>46010.50359953703</v>
      </c>
      <c r="C872" s="1" t="n">
        <v>46083</v>
      </c>
      <c r="D872" t="inlineStr">
        <is>
          <t>KRONOBERGS LÄN</t>
        </is>
      </c>
      <c r="E872" t="inlineStr">
        <is>
          <t>VÄXJÖ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31469-2023</t>
        </is>
      </c>
      <c r="B873" s="1" t="n">
        <v>45114.70386574074</v>
      </c>
      <c r="C873" s="1" t="n">
        <v>46083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63226-2025</t>
        </is>
      </c>
      <c r="B874" s="1" t="n">
        <v>46010.49761574074</v>
      </c>
      <c r="C874" s="1" t="n">
        <v>46083</v>
      </c>
      <c r="D874" t="inlineStr">
        <is>
          <t>KRONOBERGS LÄN</t>
        </is>
      </c>
      <c r="E874" t="inlineStr">
        <is>
          <t>VÄXJÖ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63228-2025</t>
        </is>
      </c>
      <c r="B875" s="1" t="n">
        <v>46010.49818287037</v>
      </c>
      <c r="C875" s="1" t="n">
        <v>46083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3278-2025</t>
        </is>
      </c>
      <c r="B876" s="1" t="n">
        <v>45679.60159722222</v>
      </c>
      <c r="C876" s="1" t="n">
        <v>46083</v>
      </c>
      <c r="D876" t="inlineStr">
        <is>
          <t>KRONOBERGS LÄN</t>
        </is>
      </c>
      <c r="E876" t="inlineStr">
        <is>
          <t>VÄXJÖ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5783-2026</t>
        </is>
      </c>
      <c r="B877" s="1" t="n">
        <v>46051.66256944444</v>
      </c>
      <c r="C877" s="1" t="n">
        <v>46083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18823-2022</t>
        </is>
      </c>
      <c r="B878" s="1" t="n">
        <v>44690.40230324074</v>
      </c>
      <c r="C878" s="1" t="n">
        <v>46083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3755-2025</t>
        </is>
      </c>
      <c r="B879" s="1" t="n">
        <v>45681</v>
      </c>
      <c r="C879" s="1" t="n">
        <v>46083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63240-2025</t>
        </is>
      </c>
      <c r="B880" s="1" t="n">
        <v>46010.52921296296</v>
      </c>
      <c r="C880" s="1" t="n">
        <v>46083</v>
      </c>
      <c r="D880" t="inlineStr">
        <is>
          <t>KRONOBERGS LÄN</t>
        </is>
      </c>
      <c r="E880" t="inlineStr">
        <is>
          <t>VÄXJÖ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63227-2025</t>
        </is>
      </c>
      <c r="B881" s="1" t="n">
        <v>46010.49791666667</v>
      </c>
      <c r="C881" s="1" t="n">
        <v>46083</v>
      </c>
      <c r="D881" t="inlineStr">
        <is>
          <t>KRONOBERGS LÄN</t>
        </is>
      </c>
      <c r="E881" t="inlineStr">
        <is>
          <t>VÄXJÖ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63355-2025</t>
        </is>
      </c>
      <c r="B882" s="1" t="n">
        <v>46010.67133101852</v>
      </c>
      <c r="C882" s="1" t="n">
        <v>46083</v>
      </c>
      <c r="D882" t="inlineStr">
        <is>
          <t>KRONOBERGS LÄN</t>
        </is>
      </c>
      <c r="E882" t="inlineStr">
        <is>
          <t>VÄXJÖ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21274-2022</t>
        </is>
      </c>
      <c r="B883" s="1" t="n">
        <v>44705.44402777778</v>
      </c>
      <c r="C883" s="1" t="n">
        <v>46083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14172-2022</t>
        </is>
      </c>
      <c r="B884" s="1" t="n">
        <v>44651</v>
      </c>
      <c r="C884" s="1" t="n">
        <v>46083</v>
      </c>
      <c r="D884" t="inlineStr">
        <is>
          <t>KRONOBERGS LÄN</t>
        </is>
      </c>
      <c r="E884" t="inlineStr">
        <is>
          <t>VÄXJÖ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24556-2024</t>
        </is>
      </c>
      <c r="B885" s="1" t="n">
        <v>45460.43055555555</v>
      </c>
      <c r="C885" s="1" t="n">
        <v>46083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18269-2024</t>
        </is>
      </c>
      <c r="B886" s="1" t="n">
        <v>45421.62476851852</v>
      </c>
      <c r="C886" s="1" t="n">
        <v>46083</v>
      </c>
      <c r="D886" t="inlineStr">
        <is>
          <t>KRONOBERGS LÄN</t>
        </is>
      </c>
      <c r="E886" t="inlineStr">
        <is>
          <t>VÄXJÖ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44141-2023</t>
        </is>
      </c>
      <c r="B887" s="1" t="n">
        <v>45188.47006944445</v>
      </c>
      <c r="C887" s="1" t="n">
        <v>46083</v>
      </c>
      <c r="D887" t="inlineStr">
        <is>
          <t>KRONOBERGS LÄN</t>
        </is>
      </c>
      <c r="E887" t="inlineStr">
        <is>
          <t>VÄXJÖ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41823-2023</t>
        </is>
      </c>
      <c r="B888" s="1" t="n">
        <v>45176.58175925926</v>
      </c>
      <c r="C888" s="1" t="n">
        <v>46083</v>
      </c>
      <c r="D888" t="inlineStr">
        <is>
          <t>KRONOBERGS LÄN</t>
        </is>
      </c>
      <c r="E888" t="inlineStr">
        <is>
          <t>VÄXJÖ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32503-2023</t>
        </is>
      </c>
      <c r="B889" s="1" t="n">
        <v>45121</v>
      </c>
      <c r="C889" s="1" t="n">
        <v>46083</v>
      </c>
      <c r="D889" t="inlineStr">
        <is>
          <t>KRONOBERGS LÄN</t>
        </is>
      </c>
      <c r="E889" t="inlineStr">
        <is>
          <t>VÄXJÖ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6580-2026</t>
        </is>
      </c>
      <c r="B890" s="1" t="n">
        <v>46056.45358796296</v>
      </c>
      <c r="C890" s="1" t="n">
        <v>46083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6950-2026</t>
        </is>
      </c>
      <c r="B891" s="1" t="n">
        <v>46057.57069444445</v>
      </c>
      <c r="C891" s="1" t="n">
        <v>46083</v>
      </c>
      <c r="D891" t="inlineStr">
        <is>
          <t>KRONOBERGS LÄN</t>
        </is>
      </c>
      <c r="E891" t="inlineStr">
        <is>
          <t>VÄXJÖ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58195-2023</t>
        </is>
      </c>
      <c r="B892" s="1" t="n">
        <v>45250.4330787037</v>
      </c>
      <c r="C892" s="1" t="n">
        <v>46083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28084-2022</t>
        </is>
      </c>
      <c r="B893" s="1" t="n">
        <v>44746</v>
      </c>
      <c r="C893" s="1" t="n">
        <v>46083</v>
      </c>
      <c r="D893" t="inlineStr">
        <is>
          <t>KRONOBERGS LÄN</t>
        </is>
      </c>
      <c r="E893" t="inlineStr">
        <is>
          <t>VÄXJÖ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28096-2022</t>
        </is>
      </c>
      <c r="B894" s="1" t="n">
        <v>44746.47082175926</v>
      </c>
      <c r="C894" s="1" t="n">
        <v>46083</v>
      </c>
      <c r="D894" t="inlineStr">
        <is>
          <t>KRONOBERGS LÄN</t>
        </is>
      </c>
      <c r="E894" t="inlineStr">
        <is>
          <t>VÄXJÖ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16594-2025</t>
        </is>
      </c>
      <c r="B895" s="1" t="n">
        <v>45753.32603009259</v>
      </c>
      <c r="C895" s="1" t="n">
        <v>46083</v>
      </c>
      <c r="D895" t="inlineStr">
        <is>
          <t>KRONOBERGS LÄN</t>
        </is>
      </c>
      <c r="E895" t="inlineStr">
        <is>
          <t>VÄXJÖ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6948-2026</t>
        </is>
      </c>
      <c r="B896" s="1" t="n">
        <v>46057.56871527778</v>
      </c>
      <c r="C896" s="1" t="n">
        <v>46083</v>
      </c>
      <c r="D896" t="inlineStr">
        <is>
          <t>KRONOBERGS LÄN</t>
        </is>
      </c>
      <c r="E896" t="inlineStr">
        <is>
          <t>VÄXJÖ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6942-2026</t>
        </is>
      </c>
      <c r="B897" s="1" t="n">
        <v>46057.5653587963</v>
      </c>
      <c r="C897" s="1" t="n">
        <v>46083</v>
      </c>
      <c r="D897" t="inlineStr">
        <is>
          <t>KRONOBERGS LÄN</t>
        </is>
      </c>
      <c r="E897" t="inlineStr">
        <is>
          <t>VÄXJÖ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65087-2023</t>
        </is>
      </c>
      <c r="B898" s="1" t="n">
        <v>45288.37354166667</v>
      </c>
      <c r="C898" s="1" t="n">
        <v>46083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7575-2026</t>
        </is>
      </c>
      <c r="B899" s="1" t="n">
        <v>46061.39715277778</v>
      </c>
      <c r="C899" s="1" t="n">
        <v>46083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18427-2022</t>
        </is>
      </c>
      <c r="B900" s="1" t="n">
        <v>44686.44046296296</v>
      </c>
      <c r="C900" s="1" t="n">
        <v>46083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116-2026</t>
        </is>
      </c>
      <c r="B901" s="1" t="n">
        <v>46019</v>
      </c>
      <c r="C901" s="1" t="n">
        <v>46083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60621-2023</t>
        </is>
      </c>
      <c r="B902" s="1" t="n">
        <v>45260.3800462963</v>
      </c>
      <c r="C902" s="1" t="n">
        <v>46083</v>
      </c>
      <c r="D902" t="inlineStr">
        <is>
          <t>KRONOBERGS LÄN</t>
        </is>
      </c>
      <c r="E902" t="inlineStr">
        <is>
          <t>VÄXJÖ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7391-2026</t>
        </is>
      </c>
      <c r="B903" s="1" t="n">
        <v>46059.36828703704</v>
      </c>
      <c r="C903" s="1" t="n">
        <v>46083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61055-2022</t>
        </is>
      </c>
      <c r="B904" s="1" t="n">
        <v>44915.05086805556</v>
      </c>
      <c r="C904" s="1" t="n">
        <v>46083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14263-2022</t>
        </is>
      </c>
      <c r="B905" s="1" t="n">
        <v>44651</v>
      </c>
      <c r="C905" s="1" t="n">
        <v>46083</v>
      </c>
      <c r="D905" t="inlineStr">
        <is>
          <t>KRONOBERGS LÄN</t>
        </is>
      </c>
      <c r="E905" t="inlineStr">
        <is>
          <t>VÄXJÖ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111-2026</t>
        </is>
      </c>
      <c r="B906" s="1" t="n">
        <v>46019</v>
      </c>
      <c r="C906" s="1" t="n">
        <v>46083</v>
      </c>
      <c r="D906" t="inlineStr">
        <is>
          <t>KRONOBERGS LÄN</t>
        </is>
      </c>
      <c r="E906" t="inlineStr">
        <is>
          <t>VÄXJÖ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7395-2026</t>
        </is>
      </c>
      <c r="B907" s="1" t="n">
        <v>46059.37333333334</v>
      </c>
      <c r="C907" s="1" t="n">
        <v>46083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7406-2026</t>
        </is>
      </c>
      <c r="B908" s="1" t="n">
        <v>46059.40028935186</v>
      </c>
      <c r="C908" s="1" t="n">
        <v>46083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44831.38086805555</v>
      </c>
      <c r="C909" s="1" t="n">
        <v>46083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14743-2024</t>
        </is>
      </c>
      <c r="B910" s="1" t="n">
        <v>45397.60945601852</v>
      </c>
      <c r="C910" s="1" t="n">
        <v>46083</v>
      </c>
      <c r="D910" t="inlineStr">
        <is>
          <t>KRONOBERGS LÄN</t>
        </is>
      </c>
      <c r="E910" t="inlineStr">
        <is>
          <t>VÄXJÖ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1011-2024</t>
        </is>
      </c>
      <c r="B911" s="1" t="n">
        <v>45301.65822916666</v>
      </c>
      <c r="C911" s="1" t="n">
        <v>46083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58054-2023</t>
        </is>
      </c>
      <c r="B912" s="1" t="n">
        <v>45247</v>
      </c>
      <c r="C912" s="1" t="n">
        <v>46083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7372-2026</t>
        </is>
      </c>
      <c r="B913" s="1" t="n">
        <v>46059.343125</v>
      </c>
      <c r="C913" s="1" t="n">
        <v>46083</v>
      </c>
      <c r="D913" t="inlineStr">
        <is>
          <t>KRONOBERGS LÄN</t>
        </is>
      </c>
      <c r="E913" t="inlineStr">
        <is>
          <t>VÄXJÖ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2119-2024</t>
        </is>
      </c>
      <c r="B914" s="1" t="n">
        <v>45309.49473379629</v>
      </c>
      <c r="C914" s="1" t="n">
        <v>46083</v>
      </c>
      <c r="D914" t="inlineStr">
        <is>
          <t>KRONOBERGS LÄN</t>
        </is>
      </c>
      <c r="E914" t="inlineStr">
        <is>
          <t>VÄXJÖ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32495-2023</t>
        </is>
      </c>
      <c r="B915" s="1" t="n">
        <v>45121</v>
      </c>
      <c r="C915" s="1" t="n">
        <v>46083</v>
      </c>
      <c r="D915" t="inlineStr">
        <is>
          <t>KRONOBERGS LÄN</t>
        </is>
      </c>
      <c r="E915" t="inlineStr">
        <is>
          <t>VÄXJÖ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17095-2022</t>
        </is>
      </c>
      <c r="B916" s="1" t="n">
        <v>44677.39790509259</v>
      </c>
      <c r="C916" s="1" t="n">
        <v>46083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37924-2022</t>
        </is>
      </c>
      <c r="B917" s="1" t="n">
        <v>44811.45271990741</v>
      </c>
      <c r="C917" s="1" t="n">
        <v>46083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28801-2022</t>
        </is>
      </c>
      <c r="B918" s="1" t="n">
        <v>44749</v>
      </c>
      <c r="C918" s="1" t="n">
        <v>46083</v>
      </c>
      <c r="D918" t="inlineStr">
        <is>
          <t>KRONOBERGS LÄN</t>
        </is>
      </c>
      <c r="E918" t="inlineStr">
        <is>
          <t>VÄXJÖ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6052-2022</t>
        </is>
      </c>
      <c r="B919" s="1" t="n">
        <v>44599.53033564815</v>
      </c>
      <c r="C919" s="1" t="n">
        <v>46083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28972-2023</t>
        </is>
      </c>
      <c r="B920" s="1" t="n">
        <v>45104.60564814815</v>
      </c>
      <c r="C920" s="1" t="n">
        <v>46083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48472-2021</t>
        </is>
      </c>
      <c r="B921" s="1" t="n">
        <v>44452.39638888889</v>
      </c>
      <c r="C921" s="1" t="n">
        <v>46083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19239-2025</t>
        </is>
      </c>
      <c r="B922" s="1" t="n">
        <v>45769.47380787037</v>
      </c>
      <c r="C922" s="1" t="n">
        <v>46083</v>
      </c>
      <c r="D922" t="inlineStr">
        <is>
          <t>KRONOBERGS LÄN</t>
        </is>
      </c>
      <c r="E922" t="inlineStr">
        <is>
          <t>VÄXJÖ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19247-2025</t>
        </is>
      </c>
      <c r="B923" s="1" t="n">
        <v>45769.48512731482</v>
      </c>
      <c r="C923" s="1" t="n">
        <v>46083</v>
      </c>
      <c r="D923" t="inlineStr">
        <is>
          <t>KRONOBERGS LÄN</t>
        </is>
      </c>
      <c r="E923" t="inlineStr">
        <is>
          <t>VÄXJÖ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19256-2025</t>
        </is>
      </c>
      <c r="B924" s="1" t="n">
        <v>45769.49739583334</v>
      </c>
      <c r="C924" s="1" t="n">
        <v>46083</v>
      </c>
      <c r="D924" t="inlineStr">
        <is>
          <t>KRONOBERGS LÄN</t>
        </is>
      </c>
      <c r="E924" t="inlineStr">
        <is>
          <t>VÄXJÖ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6583-2026</t>
        </is>
      </c>
      <c r="B925" s="1" t="n">
        <v>46056.45521990741</v>
      </c>
      <c r="C925" s="1" t="n">
        <v>46083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60350-2021</t>
        </is>
      </c>
      <c r="B926" s="1" t="n">
        <v>44496</v>
      </c>
      <c r="C926" s="1" t="n">
        <v>46083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48236-2022</t>
        </is>
      </c>
      <c r="B927" s="1" t="n">
        <v>44858</v>
      </c>
      <c r="C927" s="1" t="n">
        <v>46083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15349-2025</t>
        </is>
      </c>
      <c r="B928" s="1" t="n">
        <v>45747.38277777778</v>
      </c>
      <c r="C928" s="1" t="n">
        <v>46083</v>
      </c>
      <c r="D928" t="inlineStr">
        <is>
          <t>KRONOBERGS LÄN</t>
        </is>
      </c>
      <c r="E928" t="inlineStr">
        <is>
          <t>VÄXJÖ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63485-2023</t>
        </is>
      </c>
      <c r="B929" s="1" t="n">
        <v>45274.6619212963</v>
      </c>
      <c r="C929" s="1" t="n">
        <v>46083</v>
      </c>
      <c r="D929" t="inlineStr">
        <is>
          <t>KRONOBERGS LÄN</t>
        </is>
      </c>
      <c r="E929" t="inlineStr">
        <is>
          <t>VÄXJÖ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14324-2025</t>
        </is>
      </c>
      <c r="B930" s="1" t="n">
        <v>45740.79685185185</v>
      </c>
      <c r="C930" s="1" t="n">
        <v>46083</v>
      </c>
      <c r="D930" t="inlineStr">
        <is>
          <t>KRONOBERGS LÄN</t>
        </is>
      </c>
      <c r="E930" t="inlineStr">
        <is>
          <t>VÄXJÖ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57444-2023</t>
        </is>
      </c>
      <c r="B931" s="1" t="n">
        <v>45246.34271990741</v>
      </c>
      <c r="C931" s="1" t="n">
        <v>46083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14989-2025</t>
        </is>
      </c>
      <c r="B932" s="1" t="n">
        <v>45743</v>
      </c>
      <c r="C932" s="1" t="n">
        <v>46083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578-2026</t>
        </is>
      </c>
      <c r="B933" s="1" t="n">
        <v>46029.47736111111</v>
      </c>
      <c r="C933" s="1" t="n">
        <v>46083</v>
      </c>
      <c r="D933" t="inlineStr">
        <is>
          <t>KRONOBERGS LÄN</t>
        </is>
      </c>
      <c r="E933" t="inlineStr">
        <is>
          <t>VÄXJÖ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457-2026</t>
        </is>
      </c>
      <c r="B934" s="1" t="n">
        <v>46029.37082175926</v>
      </c>
      <c r="C934" s="1" t="n">
        <v>46083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6597-2026</t>
        </is>
      </c>
      <c r="B935" s="1" t="n">
        <v>46056.46550925926</v>
      </c>
      <c r="C935" s="1" t="n">
        <v>46083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46565-2023</t>
        </is>
      </c>
      <c r="B936" s="1" t="n">
        <v>45198.33086805556</v>
      </c>
      <c r="C936" s="1" t="n">
        <v>46083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60815-2024</t>
        </is>
      </c>
      <c r="B937" s="1" t="n">
        <v>45644.62018518519</v>
      </c>
      <c r="C937" s="1" t="n">
        <v>46083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33393-2023</t>
        </is>
      </c>
      <c r="B938" s="1" t="n">
        <v>45128</v>
      </c>
      <c r="C938" s="1" t="n">
        <v>46083</v>
      </c>
      <c r="D938" t="inlineStr">
        <is>
          <t>KRONOBERGS LÄN</t>
        </is>
      </c>
      <c r="E938" t="inlineStr">
        <is>
          <t>VÄXJÖ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4412-2025</t>
        </is>
      </c>
      <c r="B939" s="1" t="n">
        <v>45686.44939814815</v>
      </c>
      <c r="C939" s="1" t="n">
        <v>46083</v>
      </c>
      <c r="D939" t="inlineStr">
        <is>
          <t>KRONOBERGS LÄN</t>
        </is>
      </c>
      <c r="E939" t="inlineStr">
        <is>
          <t>VÄXJÖ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63910-2023</t>
        </is>
      </c>
      <c r="B940" s="1" t="n">
        <v>45278.58283564815</v>
      </c>
      <c r="C940" s="1" t="n">
        <v>46083</v>
      </c>
      <c r="D940" t="inlineStr">
        <is>
          <t>KRONOBERGS LÄN</t>
        </is>
      </c>
      <c r="E940" t="inlineStr">
        <is>
          <t>VÄXJÖ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7211-2026</t>
        </is>
      </c>
      <c r="B941" s="1" t="n">
        <v>46058</v>
      </c>
      <c r="C941" s="1" t="n">
        <v>46083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47486-2024</t>
        </is>
      </c>
      <c r="B942" s="1" t="n">
        <v>45587</v>
      </c>
      <c r="C942" s="1" t="n">
        <v>46083</v>
      </c>
      <c r="D942" t="inlineStr">
        <is>
          <t>KRONOBERGS LÄN</t>
        </is>
      </c>
      <c r="E942" t="inlineStr">
        <is>
          <t>VÄXJÖ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41149-2024</t>
        </is>
      </c>
      <c r="B943" s="1" t="n">
        <v>45559</v>
      </c>
      <c r="C943" s="1" t="n">
        <v>46083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42762-2023</t>
        </is>
      </c>
      <c r="B944" s="1" t="n">
        <v>45181</v>
      </c>
      <c r="C944" s="1" t="n">
        <v>46083</v>
      </c>
      <c r="D944" t="inlineStr">
        <is>
          <t>KRONOBERGS LÄN</t>
        </is>
      </c>
      <c r="E944" t="inlineStr">
        <is>
          <t>VÄXJÖ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9848-2026</t>
        </is>
      </c>
      <c r="B945" s="1" t="n">
        <v>46072.79490740741</v>
      </c>
      <c r="C945" s="1" t="n">
        <v>46083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34719-2023</t>
        </is>
      </c>
      <c r="B946" s="1" t="n">
        <v>45141.33791666666</v>
      </c>
      <c r="C946" s="1" t="n">
        <v>46083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9710-2026</t>
        </is>
      </c>
      <c r="B947" s="1" t="n">
        <v>46072.43777777778</v>
      </c>
      <c r="C947" s="1" t="n">
        <v>46083</v>
      </c>
      <c r="D947" t="inlineStr">
        <is>
          <t>KRONOBERGS LÄN</t>
        </is>
      </c>
      <c r="E947" t="inlineStr">
        <is>
          <t>VÄXJÖ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587-2026</t>
        </is>
      </c>
      <c r="B948" s="1" t="n">
        <v>46029.48863425926</v>
      </c>
      <c r="C948" s="1" t="n">
        <v>46083</v>
      </c>
      <c r="D948" t="inlineStr">
        <is>
          <t>KRONOBERGS LÄN</t>
        </is>
      </c>
      <c r="E948" t="inlineStr">
        <is>
          <t>VÄXJÖ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11214-2025</t>
        </is>
      </c>
      <c r="B949" s="1" t="n">
        <v>45726.3347337963</v>
      </c>
      <c r="C949" s="1" t="n">
        <v>46083</v>
      </c>
      <c r="D949" t="inlineStr">
        <is>
          <t>KRONOBERGS LÄN</t>
        </is>
      </c>
      <c r="E949" t="inlineStr">
        <is>
          <t>VÄXJÖ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45445-2023</t>
        </is>
      </c>
      <c r="B950" s="1" t="n">
        <v>45194.39922453704</v>
      </c>
      <c r="C950" s="1" t="n">
        <v>46083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1222-2026</t>
        </is>
      </c>
      <c r="B951" s="1" t="n">
        <v>46031.40212962963</v>
      </c>
      <c r="C951" s="1" t="n">
        <v>46083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17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10033-2026</t>
        </is>
      </c>
      <c r="B952" s="1" t="n">
        <v>46073.59329861111</v>
      </c>
      <c r="C952" s="1" t="n">
        <v>46083</v>
      </c>
      <c r="D952" t="inlineStr">
        <is>
          <t>KRONOBERGS LÄN</t>
        </is>
      </c>
      <c r="E952" t="inlineStr">
        <is>
          <t>VÄXJÖ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10122-2026</t>
        </is>
      </c>
      <c r="B953" s="1" t="n">
        <v>46075.80827546296</v>
      </c>
      <c r="C953" s="1" t="n">
        <v>46083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1234-2024</t>
        </is>
      </c>
      <c r="B954" s="1" t="n">
        <v>45302.71091435185</v>
      </c>
      <c r="C954" s="1" t="n">
        <v>46083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11265-2025</t>
        </is>
      </c>
      <c r="B955" s="1" t="n">
        <v>45726.40159722222</v>
      </c>
      <c r="C955" s="1" t="n">
        <v>46083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2890-2025</t>
        </is>
      </c>
      <c r="B956" s="1" t="n">
        <v>45677</v>
      </c>
      <c r="C956" s="1" t="n">
        <v>46083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15504-2024</t>
        </is>
      </c>
      <c r="B957" s="1" t="n">
        <v>45401</v>
      </c>
      <c r="C957" s="1" t="n">
        <v>46083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57041-2023</t>
        </is>
      </c>
      <c r="B958" s="1" t="n">
        <v>45244</v>
      </c>
      <c r="C958" s="1" t="n">
        <v>46083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32549-2021</t>
        </is>
      </c>
      <c r="B959" s="1" t="n">
        <v>44370</v>
      </c>
      <c r="C959" s="1" t="n">
        <v>46083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19377-2024</t>
        </is>
      </c>
      <c r="B960" s="1" t="n">
        <v>45428</v>
      </c>
      <c r="C960" s="1" t="n">
        <v>46083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36390-2023</t>
        </is>
      </c>
      <c r="B961" s="1" t="n">
        <v>45152.53986111111</v>
      </c>
      <c r="C961" s="1" t="n">
        <v>46083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1218-2026</t>
        </is>
      </c>
      <c r="B962" s="1" t="n">
        <v>46031.40054398148</v>
      </c>
      <c r="C962" s="1" t="n">
        <v>46083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7299-2025</t>
        </is>
      </c>
      <c r="B963" s="1" t="n">
        <v>45702.65407407407</v>
      </c>
      <c r="C963" s="1" t="n">
        <v>46083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37755-2024</t>
        </is>
      </c>
      <c r="B964" s="1" t="n">
        <v>45541.73261574074</v>
      </c>
      <c r="C964" s="1" t="n">
        <v>46083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10093-2026</t>
        </is>
      </c>
      <c r="B965" s="1" t="n">
        <v>46073.71484953703</v>
      </c>
      <c r="C965" s="1" t="n">
        <v>46083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771-2024</t>
        </is>
      </c>
      <c r="B966" s="1" t="n">
        <v>45300.52561342593</v>
      </c>
      <c r="C966" s="1" t="n">
        <v>46083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780-2024</t>
        </is>
      </c>
      <c r="B967" s="1" t="n">
        <v>45300.54975694444</v>
      </c>
      <c r="C967" s="1" t="n">
        <v>46083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6870-2024</t>
        </is>
      </c>
      <c r="B968" s="1" t="n">
        <v>45342.75077546296</v>
      </c>
      <c r="C968" s="1" t="n">
        <v>46083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1239-2024</t>
        </is>
      </c>
      <c r="B969" s="1" t="n">
        <v>45302.71799768518</v>
      </c>
      <c r="C969" s="1" t="n">
        <v>46083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3879-2024</t>
        </is>
      </c>
      <c r="B970" s="1" t="n">
        <v>45322.43651620371</v>
      </c>
      <c r="C970" s="1" t="n">
        <v>46083</v>
      </c>
      <c r="D970" t="inlineStr">
        <is>
          <t>KRONOBERGS LÄN</t>
        </is>
      </c>
      <c r="E970" t="inlineStr">
        <is>
          <t>VÄXJÖ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32162-2024</t>
        </is>
      </c>
      <c r="B971" s="1" t="n">
        <v>45511.58850694444</v>
      </c>
      <c r="C971" s="1" t="n">
        <v>46083</v>
      </c>
      <c r="D971" t="inlineStr">
        <is>
          <t>KRONOBERGS LÄN</t>
        </is>
      </c>
      <c r="E971" t="inlineStr">
        <is>
          <t>VÄXJÖ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61354-2022</t>
        </is>
      </c>
      <c r="B972" s="1" t="n">
        <v>44915</v>
      </c>
      <c r="C972" s="1" t="n">
        <v>46083</v>
      </c>
      <c r="D972" t="inlineStr">
        <is>
          <t>KRONOBERGS LÄN</t>
        </is>
      </c>
      <c r="E972" t="inlineStr">
        <is>
          <t>VÄXJÖ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2150-2026</t>
        </is>
      </c>
      <c r="B973" s="1" t="n">
        <v>46036.41478009259</v>
      </c>
      <c r="C973" s="1" t="n">
        <v>46083</v>
      </c>
      <c r="D973" t="inlineStr">
        <is>
          <t>KRONOBERGS LÄN</t>
        </is>
      </c>
      <c r="E973" t="inlineStr">
        <is>
          <t>VÄXJÖ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19501-2021</t>
        </is>
      </c>
      <c r="B974" s="1" t="n">
        <v>44308</v>
      </c>
      <c r="C974" s="1" t="n">
        <v>46083</v>
      </c>
      <c r="D974" t="inlineStr">
        <is>
          <t>KRONOBERGS LÄN</t>
        </is>
      </c>
      <c r="E974" t="inlineStr">
        <is>
          <t>VÄXJÖ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1798-2026</t>
        </is>
      </c>
      <c r="B975" s="1" t="n">
        <v>46035.30069444444</v>
      </c>
      <c r="C975" s="1" t="n">
        <v>46083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1802-2026</t>
        </is>
      </c>
      <c r="B976" s="1" t="n">
        <v>46035.31605324074</v>
      </c>
      <c r="C976" s="1" t="n">
        <v>46083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45307-2025</t>
        </is>
      </c>
      <c r="B977" s="1" t="n">
        <v>45921.70836805556</v>
      </c>
      <c r="C977" s="1" t="n">
        <v>46083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14380-2022</t>
        </is>
      </c>
      <c r="B978" s="1" t="n">
        <v>44652</v>
      </c>
      <c r="C978" s="1" t="n">
        <v>46083</v>
      </c>
      <c r="D978" t="inlineStr">
        <is>
          <t>KRONOBERGS LÄN</t>
        </is>
      </c>
      <c r="E978" t="inlineStr">
        <is>
          <t>VÄXJÖ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43899-2021</t>
        </is>
      </c>
      <c r="B979" s="1" t="n">
        <v>44434</v>
      </c>
      <c r="C979" s="1" t="n">
        <v>46083</v>
      </c>
      <c r="D979" t="inlineStr">
        <is>
          <t>KRONOBERGS LÄN</t>
        </is>
      </c>
      <c r="E979" t="inlineStr">
        <is>
          <t>VÄXJÖ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2157-2026</t>
        </is>
      </c>
      <c r="B980" s="1" t="n">
        <v>46036.43053240741</v>
      </c>
      <c r="C980" s="1" t="n">
        <v>46083</v>
      </c>
      <c r="D980" t="inlineStr">
        <is>
          <t>KRONOBERGS LÄN</t>
        </is>
      </c>
      <c r="E980" t="inlineStr">
        <is>
          <t>VÄXJÖ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70671-2021</t>
        </is>
      </c>
      <c r="B981" s="1" t="n">
        <v>44537</v>
      </c>
      <c r="C981" s="1" t="n">
        <v>46083</v>
      </c>
      <c r="D981" t="inlineStr">
        <is>
          <t>KRONOBERGS LÄN</t>
        </is>
      </c>
      <c r="E981" t="inlineStr">
        <is>
          <t>VÄXJÖ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8038-2022</t>
        </is>
      </c>
      <c r="B982" s="1" t="n">
        <v>44609</v>
      </c>
      <c r="C982" s="1" t="n">
        <v>46083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2069-2026</t>
        </is>
      </c>
      <c r="B983" s="1" t="n">
        <v>46036.31258101852</v>
      </c>
      <c r="C983" s="1" t="n">
        <v>46083</v>
      </c>
      <c r="D983" t="inlineStr">
        <is>
          <t>KRONOBERGS LÄN</t>
        </is>
      </c>
      <c r="E983" t="inlineStr">
        <is>
          <t>VÄXJÖ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27158-2022</t>
        </is>
      </c>
      <c r="B984" s="1" t="n">
        <v>44741</v>
      </c>
      <c r="C984" s="1" t="n">
        <v>46083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43279-2023</t>
        </is>
      </c>
      <c r="B985" s="1" t="n">
        <v>45183.5531712963</v>
      </c>
      <c r="C985" s="1" t="n">
        <v>46083</v>
      </c>
      <c r="D985" t="inlineStr">
        <is>
          <t>KRONOBERGS LÄN</t>
        </is>
      </c>
      <c r="E985" t="inlineStr">
        <is>
          <t>VÄXJÖ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1819-2026</t>
        </is>
      </c>
      <c r="B986" s="1" t="n">
        <v>46035.35650462963</v>
      </c>
      <c r="C986" s="1" t="n">
        <v>46083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32493-2023</t>
        </is>
      </c>
      <c r="B987" s="1" t="n">
        <v>45121</v>
      </c>
      <c r="C987" s="1" t="n">
        <v>46083</v>
      </c>
      <c r="D987" t="inlineStr">
        <is>
          <t>KRONOBERGS LÄN</t>
        </is>
      </c>
      <c r="E987" t="inlineStr">
        <is>
          <t>VÄXJÖ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2385-2026</t>
        </is>
      </c>
      <c r="B988" s="1" t="n">
        <v>46036.66730324074</v>
      </c>
      <c r="C988" s="1" t="n">
        <v>46083</v>
      </c>
      <c r="D988" t="inlineStr">
        <is>
          <t>KRONOBERGS LÄN</t>
        </is>
      </c>
      <c r="E988" t="inlineStr">
        <is>
          <t>VÄXJÖ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18060-2024</t>
        </is>
      </c>
      <c r="B989" s="1" t="n">
        <v>45420.39990740741</v>
      </c>
      <c r="C989" s="1" t="n">
        <v>46083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59298-2023</t>
        </is>
      </c>
      <c r="B990" s="1" t="n">
        <v>45253.58075231482</v>
      </c>
      <c r="C990" s="1" t="n">
        <v>46083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35819-2021</t>
        </is>
      </c>
      <c r="B991" s="1" t="n">
        <v>44386</v>
      </c>
      <c r="C991" s="1" t="n">
        <v>46083</v>
      </c>
      <c r="D991" t="inlineStr">
        <is>
          <t>KRONOBERGS LÄN</t>
        </is>
      </c>
      <c r="E991" t="inlineStr">
        <is>
          <t>VÄXJÖ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45651-2022</t>
        </is>
      </c>
      <c r="B992" s="1" t="n">
        <v>44845</v>
      </c>
      <c r="C992" s="1" t="n">
        <v>46083</v>
      </c>
      <c r="D992" t="inlineStr">
        <is>
          <t>KRONOBERGS LÄN</t>
        </is>
      </c>
      <c r="E992" t="inlineStr">
        <is>
          <t>VÄXJÖ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22010-2021</t>
        </is>
      </c>
      <c r="B993" s="1" t="n">
        <v>44323</v>
      </c>
      <c r="C993" s="1" t="n">
        <v>46083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42037-2021</t>
        </is>
      </c>
      <c r="B994" s="1" t="n">
        <v>44426.54175925926</v>
      </c>
      <c r="C994" s="1" t="n">
        <v>46083</v>
      </c>
      <c r="D994" t="inlineStr">
        <is>
          <t>KRONOBERGS LÄN</t>
        </is>
      </c>
      <c r="E994" t="inlineStr">
        <is>
          <t>VÄXJÖ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61359-2022</t>
        </is>
      </c>
      <c r="B995" s="1" t="n">
        <v>44915.74278935185</v>
      </c>
      <c r="C995" s="1" t="n">
        <v>46083</v>
      </c>
      <c r="D995" t="inlineStr">
        <is>
          <t>KRONOBERGS LÄN</t>
        </is>
      </c>
      <c r="E995" t="inlineStr">
        <is>
          <t>VÄXJÖ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73647-2021</t>
        </is>
      </c>
      <c r="B996" s="1" t="n">
        <v>44552</v>
      </c>
      <c r="C996" s="1" t="n">
        <v>46083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22242-2023</t>
        </is>
      </c>
      <c r="B997" s="1" t="n">
        <v>45070.29798611111</v>
      </c>
      <c r="C997" s="1" t="n">
        <v>46083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12211-2023</t>
        </is>
      </c>
      <c r="B998" s="1" t="n">
        <v>44998</v>
      </c>
      <c r="C998" s="1" t="n">
        <v>46083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10930-2026</t>
        </is>
      </c>
      <c r="B999" s="1" t="n">
        <v>46079.3521412037</v>
      </c>
      <c r="C999" s="1" t="n">
        <v>46083</v>
      </c>
      <c r="D999" t="inlineStr">
        <is>
          <t>KRONOBERGS LÄN</t>
        </is>
      </c>
      <c r="E999" t="inlineStr">
        <is>
          <t>VÄXJÖ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4721-2022</t>
        </is>
      </c>
      <c r="B1000" s="1" t="n">
        <v>44592.5402662037</v>
      </c>
      <c r="C1000" s="1" t="n">
        <v>46083</v>
      </c>
      <c r="D1000" t="inlineStr">
        <is>
          <t>KRONOBERGS LÄN</t>
        </is>
      </c>
      <c r="E1000" t="inlineStr">
        <is>
          <t>VÄXJÖ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28570-2023</t>
        </is>
      </c>
      <c r="B1001" s="1" t="n">
        <v>45103</v>
      </c>
      <c r="C1001" s="1" t="n">
        <v>46083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21231-2023</t>
        </is>
      </c>
      <c r="B1002" s="1" t="n">
        <v>45058</v>
      </c>
      <c r="C1002" s="1" t="n">
        <v>46083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10932-2026</t>
        </is>
      </c>
      <c r="B1003" s="1" t="n">
        <v>46079.35677083334</v>
      </c>
      <c r="C1003" s="1" t="n">
        <v>46083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44923-2023</t>
        </is>
      </c>
      <c r="B1004" s="1" t="n">
        <v>45190</v>
      </c>
      <c r="C1004" s="1" t="n">
        <v>46083</v>
      </c>
      <c r="D1004" t="inlineStr">
        <is>
          <t>KRONOBERGS LÄN</t>
        </is>
      </c>
      <c r="E1004" t="inlineStr">
        <is>
          <t>VÄXJÖ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41725-2023</t>
        </is>
      </c>
      <c r="B1005" s="1" t="n">
        <v>45176.40626157408</v>
      </c>
      <c r="C1005" s="1" t="n">
        <v>46083</v>
      </c>
      <c r="D1005" t="inlineStr">
        <is>
          <t>KRONOBERGS LÄN</t>
        </is>
      </c>
      <c r="E1005" t="inlineStr">
        <is>
          <t>VÄXJÖ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2913-2024</t>
        </is>
      </c>
      <c r="B1006" s="1" t="n">
        <v>45315.56436342592</v>
      </c>
      <c r="C1006" s="1" t="n">
        <v>46083</v>
      </c>
      <c r="D1006" t="inlineStr">
        <is>
          <t>KRONOBERGS LÄN</t>
        </is>
      </c>
      <c r="E1006" t="inlineStr">
        <is>
          <t>VÄXJÖ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2914-2024</t>
        </is>
      </c>
      <c r="B1007" s="1" t="n">
        <v>45315</v>
      </c>
      <c r="C1007" s="1" t="n">
        <v>46083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9001-2023</t>
        </is>
      </c>
      <c r="B1008" s="1" t="n">
        <v>44979.57680555555</v>
      </c>
      <c r="C1008" s="1" t="n">
        <v>46083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13326-2024</t>
        </is>
      </c>
      <c r="B1009" s="1" t="n">
        <v>45386.86943287037</v>
      </c>
      <c r="C1009" s="1" t="n">
        <v>46083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47831-2023</t>
        </is>
      </c>
      <c r="B1010" s="1" t="n">
        <v>45204.36121527778</v>
      </c>
      <c r="C1010" s="1" t="n">
        <v>46083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9358-2024</t>
        </is>
      </c>
      <c r="B1011" s="1" t="n">
        <v>45359.32828703704</v>
      </c>
      <c r="C1011" s="1" t="n">
        <v>46083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5276-2023</t>
        </is>
      </c>
      <c r="B1012" s="1" t="n">
        <v>44959.48619212963</v>
      </c>
      <c r="C1012" s="1" t="n">
        <v>46083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20147-2021</t>
        </is>
      </c>
      <c r="B1013" s="1" t="n">
        <v>44314</v>
      </c>
      <c r="C1013" s="1" t="n">
        <v>46083</v>
      </c>
      <c r="D1013" t="inlineStr">
        <is>
          <t>KRONOBERGS LÄN</t>
        </is>
      </c>
      <c r="E1013" t="inlineStr">
        <is>
          <t>VÄXJÖ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49000-2024</t>
        </is>
      </c>
      <c r="B1014" s="1" t="n">
        <v>45594.49349537037</v>
      </c>
      <c r="C1014" s="1" t="n">
        <v>46083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49003-2024</t>
        </is>
      </c>
      <c r="B1015" s="1" t="n">
        <v>45594.49548611111</v>
      </c>
      <c r="C1015" s="1" t="n">
        <v>46083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49006-2024</t>
        </is>
      </c>
      <c r="B1016" s="1" t="n">
        <v>45594.49760416667</v>
      </c>
      <c r="C1016" s="1" t="n">
        <v>46083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53713-2023</t>
        </is>
      </c>
      <c r="B1017" s="1" t="n">
        <v>45230.68856481482</v>
      </c>
      <c r="C1017" s="1" t="n">
        <v>46083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45100-2022</t>
        </is>
      </c>
      <c r="B1018" s="1" t="n">
        <v>44843.29655092592</v>
      </c>
      <c r="C1018" s="1" t="n">
        <v>46083</v>
      </c>
      <c r="D1018" t="inlineStr">
        <is>
          <t>KRONOBERGS LÄN</t>
        </is>
      </c>
      <c r="E1018" t="inlineStr">
        <is>
          <t>VÄXJÖ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56952-2022</t>
        </is>
      </c>
      <c r="B1019" s="1" t="n">
        <v>44894</v>
      </c>
      <c r="C1019" s="1" t="n">
        <v>46083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57159-2023</t>
        </is>
      </c>
      <c r="B1020" s="1" t="n">
        <v>45245</v>
      </c>
      <c r="C1020" s="1" t="n">
        <v>46083</v>
      </c>
      <c r="D1020" t="inlineStr">
        <is>
          <t>KRONOBERGS LÄN</t>
        </is>
      </c>
      <c r="E1020" t="inlineStr">
        <is>
          <t>VÄXJÖ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5943-2023</t>
        </is>
      </c>
      <c r="B1021" s="1" t="n">
        <v>44963.87038194444</v>
      </c>
      <c r="C1021" s="1" t="n">
        <v>46083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49975-2024</t>
        </is>
      </c>
      <c r="B1022" s="1" t="n">
        <v>45597.67458333333</v>
      </c>
      <c r="C1022" s="1" t="n">
        <v>46083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51394-2023</t>
        </is>
      </c>
      <c r="B1023" s="1" t="n">
        <v>45219</v>
      </c>
      <c r="C1023" s="1" t="n">
        <v>46083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21046-2023</t>
        </is>
      </c>
      <c r="B1024" s="1" t="n">
        <v>45061</v>
      </c>
      <c r="C1024" s="1" t="n">
        <v>46083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44175-2024</t>
        </is>
      </c>
      <c r="B1025" s="1" t="n">
        <v>45572</v>
      </c>
      <c r="C1025" s="1" t="n">
        <v>46083</v>
      </c>
      <c r="D1025" t="inlineStr">
        <is>
          <t>KRONOBERGS LÄN</t>
        </is>
      </c>
      <c r="E1025" t="inlineStr">
        <is>
          <t>VÄXJÖ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1470-2024</t>
        </is>
      </c>
      <c r="B1026" s="1" t="n">
        <v>45304.56362268519</v>
      </c>
      <c r="C1026" s="1" t="n">
        <v>46083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61996-2024</t>
        </is>
      </c>
      <c r="B1027" s="1" t="n">
        <v>45653.77716435185</v>
      </c>
      <c r="C1027" s="1" t="n">
        <v>46083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27081-2021</t>
        </is>
      </c>
      <c r="B1028" s="1" t="n">
        <v>44350.48313657408</v>
      </c>
      <c r="C1028" s="1" t="n">
        <v>46083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45029.47953703703</v>
      </c>
      <c r="C1029" s="1" t="n">
        <v>46083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11271-2023</t>
        </is>
      </c>
      <c r="B1030" s="1" t="n">
        <v>44992</v>
      </c>
      <c r="C1030" s="1" t="n">
        <v>46083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39761-2024</t>
        </is>
      </c>
      <c r="B1031" s="1" t="n">
        <v>45552.70320601852</v>
      </c>
      <c r="C1031" s="1" t="n">
        <v>46083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46830-2023</t>
        </is>
      </c>
      <c r="B1032" s="1" t="n">
        <v>45199</v>
      </c>
      <c r="C1032" s="1" t="n">
        <v>46083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42705-2023</t>
        </is>
      </c>
      <c r="B1033" s="1" t="n">
        <v>45181</v>
      </c>
      <c r="C1033" s="1" t="n">
        <v>46083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11800-2025</t>
        </is>
      </c>
      <c r="B1034" s="1" t="n">
        <v>45727.82142361111</v>
      </c>
      <c r="C1034" s="1" t="n">
        <v>46083</v>
      </c>
      <c r="D1034" t="inlineStr">
        <is>
          <t>KRONOBERGS LÄN</t>
        </is>
      </c>
      <c r="E1034" t="inlineStr">
        <is>
          <t>VÄXJÖ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35543-2023</t>
        </is>
      </c>
      <c r="B1035" s="1" t="n">
        <v>45147</v>
      </c>
      <c r="C1035" s="1" t="n">
        <v>46083</v>
      </c>
      <c r="D1035" t="inlineStr">
        <is>
          <t>KRONOBERGS LÄN</t>
        </is>
      </c>
      <c r="E1035" t="inlineStr">
        <is>
          <t>VÄXJÖ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3101-2025</t>
        </is>
      </c>
      <c r="B1036" s="1" t="n">
        <v>45678</v>
      </c>
      <c r="C1036" s="1" t="n">
        <v>46083</v>
      </c>
      <c r="D1036" t="inlineStr">
        <is>
          <t>KRONOBERGS LÄN</t>
        </is>
      </c>
      <c r="E1036" t="inlineStr">
        <is>
          <t>VÄXJÖ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29103-2023</t>
        </is>
      </c>
      <c r="B1037" s="1" t="n">
        <v>45105.37561342592</v>
      </c>
      <c r="C1037" s="1" t="n">
        <v>46083</v>
      </c>
      <c r="D1037" t="inlineStr">
        <is>
          <t>KRONOBERGS LÄN</t>
        </is>
      </c>
      <c r="E1037" t="inlineStr">
        <is>
          <t>VÄXJÖ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61585-2021</t>
        </is>
      </c>
      <c r="B1038" s="1" t="n">
        <v>44501</v>
      </c>
      <c r="C1038" s="1" t="n">
        <v>46083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40621-2024</t>
        </is>
      </c>
      <c r="B1039" s="1" t="n">
        <v>45557.57099537037</v>
      </c>
      <c r="C1039" s="1" t="n">
        <v>46083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4318-2024</t>
        </is>
      </c>
      <c r="B1040" s="1" t="n">
        <v>45324</v>
      </c>
      <c r="C1040" s="1" t="n">
        <v>46083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36056-2024</t>
        </is>
      </c>
      <c r="B1041" s="1" t="n">
        <v>45533.63113425926</v>
      </c>
      <c r="C1041" s="1" t="n">
        <v>46083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10820-2024</t>
        </is>
      </c>
      <c r="B1042" s="1" t="n">
        <v>45369.66939814815</v>
      </c>
      <c r="C1042" s="1" t="n">
        <v>46083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40249-2024</t>
        </is>
      </c>
      <c r="B1043" s="1" t="n">
        <v>45554.61875</v>
      </c>
      <c r="C1043" s="1" t="n">
        <v>46083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30439-2022</t>
        </is>
      </c>
      <c r="B1044" s="1" t="n">
        <v>44761</v>
      </c>
      <c r="C1044" s="1" t="n">
        <v>46083</v>
      </c>
      <c r="D1044" t="inlineStr">
        <is>
          <t>KRONOBERGS LÄN</t>
        </is>
      </c>
      <c r="E1044" t="inlineStr">
        <is>
          <t>VÄXJÖ</t>
        </is>
      </c>
      <c r="F1044" t="inlineStr">
        <is>
          <t>Kyrkan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26139-2024</t>
        </is>
      </c>
      <c r="B1045" s="1" t="n">
        <v>45468.49049768518</v>
      </c>
      <c r="C1045" s="1" t="n">
        <v>46083</v>
      </c>
      <c r="D1045" t="inlineStr">
        <is>
          <t>KRONOBERGS LÄN</t>
        </is>
      </c>
      <c r="E1045" t="inlineStr">
        <is>
          <t>VÄXJÖ</t>
        </is>
      </c>
      <c r="G1045" t="n">
        <v>12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20478-2023</t>
        </is>
      </c>
      <c r="B1046" s="1" t="n">
        <v>45057</v>
      </c>
      <c r="C1046" s="1" t="n">
        <v>46083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19074-2024</t>
        </is>
      </c>
      <c r="B1047" s="1" t="n">
        <v>45427</v>
      </c>
      <c r="C1047" s="1" t="n">
        <v>46083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15223-2024</t>
        </is>
      </c>
      <c r="B1048" s="1" t="n">
        <v>45400.47762731482</v>
      </c>
      <c r="C1048" s="1" t="n">
        <v>46083</v>
      </c>
      <c r="D1048" t="inlineStr">
        <is>
          <t>KRONOBERGS LÄN</t>
        </is>
      </c>
      <c r="E1048" t="inlineStr">
        <is>
          <t>VÄXJÖ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49010-2024</t>
        </is>
      </c>
      <c r="B1049" s="1" t="n">
        <v>45594.50193287037</v>
      </c>
      <c r="C1049" s="1" t="n">
        <v>46083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49013-2024</t>
        </is>
      </c>
      <c r="B1050" s="1" t="n">
        <v>45594.50355324074</v>
      </c>
      <c r="C1050" s="1" t="n">
        <v>46083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49026-2024</t>
        </is>
      </c>
      <c r="B1051" s="1" t="n">
        <v>45594.51657407408</v>
      </c>
      <c r="C1051" s="1" t="n">
        <v>46083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22213-2024</t>
        </is>
      </c>
      <c r="B1052" s="1" t="n">
        <v>45446.39304398148</v>
      </c>
      <c r="C1052" s="1" t="n">
        <v>46083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8571-2023</t>
        </is>
      </c>
      <c r="B1053" s="1" t="n">
        <v>44977.63971064815</v>
      </c>
      <c r="C1053" s="1" t="n">
        <v>46083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14427-2023</t>
        </is>
      </c>
      <c r="B1054" s="1" t="n">
        <v>45009</v>
      </c>
      <c r="C1054" s="1" t="n">
        <v>46083</v>
      </c>
      <c r="D1054" t="inlineStr">
        <is>
          <t>KRONOBERGS LÄN</t>
        </is>
      </c>
      <c r="E1054" t="inlineStr">
        <is>
          <t>VÄXJÖ</t>
        </is>
      </c>
      <c r="F1054" t="inlineStr">
        <is>
          <t>Kyrkan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3357-2025</t>
        </is>
      </c>
      <c r="B1055" s="1" t="n">
        <v>45679.92653935185</v>
      </c>
      <c r="C1055" s="1" t="n">
        <v>46083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6809-2022</t>
        </is>
      </c>
      <c r="B1056" s="1" t="n">
        <v>44602.57952546296</v>
      </c>
      <c r="C1056" s="1" t="n">
        <v>46083</v>
      </c>
      <c r="D1056" t="inlineStr">
        <is>
          <t>KRONOBERGS LÄN</t>
        </is>
      </c>
      <c r="E1056" t="inlineStr">
        <is>
          <t>VÄXJÖ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25569-2022</t>
        </is>
      </c>
      <c r="B1057" s="1" t="n">
        <v>44732</v>
      </c>
      <c r="C1057" s="1" t="n">
        <v>46083</v>
      </c>
      <c r="D1057" t="inlineStr">
        <is>
          <t>KRONOBERGS LÄN</t>
        </is>
      </c>
      <c r="E1057" t="inlineStr">
        <is>
          <t>VÄXJÖ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41826-2023</t>
        </is>
      </c>
      <c r="B1058" s="1" t="n">
        <v>45176.58371527777</v>
      </c>
      <c r="C1058" s="1" t="n">
        <v>46083</v>
      </c>
      <c r="D1058" t="inlineStr">
        <is>
          <t>KRONOBERGS LÄN</t>
        </is>
      </c>
      <c r="E1058" t="inlineStr">
        <is>
          <t>VÄXJÖ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4423-2023</t>
        </is>
      </c>
      <c r="B1059" s="1" t="n">
        <v>44956.39506944444</v>
      </c>
      <c r="C1059" s="1" t="n">
        <v>46083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64715-2023</t>
        </is>
      </c>
      <c r="B1060" s="1" t="n">
        <v>45281.69575231482</v>
      </c>
      <c r="C1060" s="1" t="n">
        <v>46083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25806-2023</t>
        </is>
      </c>
      <c r="B1061" s="1" t="n">
        <v>45090.5199537037</v>
      </c>
      <c r="C1061" s="1" t="n">
        <v>46083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15218-2023</t>
        </is>
      </c>
      <c r="B1062" s="1" t="n">
        <v>45019.29746527778</v>
      </c>
      <c r="C1062" s="1" t="n">
        <v>46083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53188-2024</t>
        </is>
      </c>
      <c r="B1063" s="1" t="n">
        <v>45611.70576388889</v>
      </c>
      <c r="C1063" s="1" t="n">
        <v>46083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20411-2025</t>
        </is>
      </c>
      <c r="B1064" s="1" t="n">
        <v>45775.45998842592</v>
      </c>
      <c r="C1064" s="1" t="n">
        <v>46083</v>
      </c>
      <c r="D1064" t="inlineStr">
        <is>
          <t>KRONOBERGS LÄN</t>
        </is>
      </c>
      <c r="E1064" t="inlineStr">
        <is>
          <t>VÄXJÖ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2657-2025</t>
        </is>
      </c>
      <c r="B1065" s="1" t="n">
        <v>45676.75392361111</v>
      </c>
      <c r="C1065" s="1" t="n">
        <v>46083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38457-2023</t>
        </is>
      </c>
      <c r="B1066" s="1" t="n">
        <v>45162.43773148148</v>
      </c>
      <c r="C1066" s="1" t="n">
        <v>46083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38460-2023</t>
        </is>
      </c>
      <c r="B1067" s="1" t="n">
        <v>45162.44449074074</v>
      </c>
      <c r="C1067" s="1" t="n">
        <v>46083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46214-2024</t>
        </is>
      </c>
      <c r="B1068" s="1" t="n">
        <v>45581.55803240741</v>
      </c>
      <c r="C1068" s="1" t="n">
        <v>46083</v>
      </c>
      <c r="D1068" t="inlineStr">
        <is>
          <t>KRONOBERGS LÄN</t>
        </is>
      </c>
      <c r="E1068" t="inlineStr">
        <is>
          <t>VÄXJÖ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31309-2024</t>
        </is>
      </c>
      <c r="B1069" s="1" t="n">
        <v>45504.53853009259</v>
      </c>
      <c r="C1069" s="1" t="n">
        <v>46083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62164-2021</t>
        </is>
      </c>
      <c r="B1070" s="1" t="n">
        <v>44502.76005787037</v>
      </c>
      <c r="C1070" s="1" t="n">
        <v>46083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19278-2023</t>
        </is>
      </c>
      <c r="B1071" s="1" t="n">
        <v>45049.41876157407</v>
      </c>
      <c r="C1071" s="1" t="n">
        <v>46083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57367-2022</t>
        </is>
      </c>
      <c r="B1072" s="1" t="n">
        <v>44896</v>
      </c>
      <c r="C1072" s="1" t="n">
        <v>46083</v>
      </c>
      <c r="D1072" t="inlineStr">
        <is>
          <t>KRONOBERGS LÄN</t>
        </is>
      </c>
      <c r="E1072" t="inlineStr">
        <is>
          <t>VÄXJÖ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890-2025</t>
        </is>
      </c>
      <c r="B1073" s="1" t="n">
        <v>45665.6562962963</v>
      </c>
      <c r="C1073" s="1" t="n">
        <v>46083</v>
      </c>
      <c r="D1073" t="inlineStr">
        <is>
          <t>KRONOBERGS LÄN</t>
        </is>
      </c>
      <c r="E1073" t="inlineStr">
        <is>
          <t>VÄXJÖ</t>
        </is>
      </c>
      <c r="G1073" t="n">
        <v>12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18718-2025</t>
        </is>
      </c>
      <c r="B1074" s="1" t="n">
        <v>45763</v>
      </c>
      <c r="C1074" s="1" t="n">
        <v>46083</v>
      </c>
      <c r="D1074" t="inlineStr">
        <is>
          <t>KRONOBERGS LÄN</t>
        </is>
      </c>
      <c r="E1074" t="inlineStr">
        <is>
          <t>VÄXJÖ</t>
        </is>
      </c>
      <c r="F1074" t="inlineStr">
        <is>
          <t>Övriga statliga verk och myndigheter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18381-2025</t>
        </is>
      </c>
      <c r="B1075" s="1" t="n">
        <v>45762.57912037037</v>
      </c>
      <c r="C1075" s="1" t="n">
        <v>46083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36522-2023</t>
        </is>
      </c>
      <c r="B1076" s="1" t="n">
        <v>45153.31517361111</v>
      </c>
      <c r="C1076" s="1" t="n">
        <v>46083</v>
      </c>
      <c r="D1076" t="inlineStr">
        <is>
          <t>KRONOBERGS LÄN</t>
        </is>
      </c>
      <c r="E1076" t="inlineStr">
        <is>
          <t>VÄXJÖ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3280-2025</t>
        </is>
      </c>
      <c r="B1077" s="1" t="n">
        <v>45679.60483796296</v>
      </c>
      <c r="C1077" s="1" t="n">
        <v>46083</v>
      </c>
      <c r="D1077" t="inlineStr">
        <is>
          <t>KRONOBERGS LÄN</t>
        </is>
      </c>
      <c r="E1077" t="inlineStr">
        <is>
          <t>VÄXJÖ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22397-2021</t>
        </is>
      </c>
      <c r="B1078" s="1" t="n">
        <v>44326.60452546296</v>
      </c>
      <c r="C1078" s="1" t="n">
        <v>46083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375-2024</t>
        </is>
      </c>
      <c r="B1079" s="1" t="n">
        <v>45296.33238425926</v>
      </c>
      <c r="C1079" s="1" t="n">
        <v>46083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54616-2024</t>
        </is>
      </c>
      <c r="B1080" s="1" t="n">
        <v>45617.72848379629</v>
      </c>
      <c r="C1080" s="1" t="n">
        <v>46083</v>
      </c>
      <c r="D1080" t="inlineStr">
        <is>
          <t>KRONOBERGS LÄN</t>
        </is>
      </c>
      <c r="E1080" t="inlineStr">
        <is>
          <t>VÄXJÖ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19152-2025</t>
        </is>
      </c>
      <c r="B1081" s="1" t="n">
        <v>45769.35501157407</v>
      </c>
      <c r="C1081" s="1" t="n">
        <v>46083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18694-2022</t>
        </is>
      </c>
      <c r="B1082" s="1" t="n">
        <v>44687.60125</v>
      </c>
      <c r="C1082" s="1" t="n">
        <v>46083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49619-2023</t>
        </is>
      </c>
      <c r="B1083" s="1" t="n">
        <v>45211.82909722222</v>
      </c>
      <c r="C1083" s="1" t="n">
        <v>46083</v>
      </c>
      <c r="D1083" t="inlineStr">
        <is>
          <t>KRONOBERGS LÄN</t>
        </is>
      </c>
      <c r="E1083" t="inlineStr">
        <is>
          <t>VÄXJÖ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58155-2024</t>
        </is>
      </c>
      <c r="B1084" s="1" t="n">
        <v>45632.4446875</v>
      </c>
      <c r="C1084" s="1" t="n">
        <v>46083</v>
      </c>
      <c r="D1084" t="inlineStr">
        <is>
          <t>KRONOBERGS LÄN</t>
        </is>
      </c>
      <c r="E1084" t="inlineStr">
        <is>
          <t>VÄXJÖ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46589-2024</t>
        </is>
      </c>
      <c r="B1085" s="1" t="n">
        <v>45582.78583333334</v>
      </c>
      <c r="C1085" s="1" t="n">
        <v>46083</v>
      </c>
      <c r="D1085" t="inlineStr">
        <is>
          <t>KRONOBERGS LÄN</t>
        </is>
      </c>
      <c r="E1085" t="inlineStr">
        <is>
          <t>VÄXJÖ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54256-2023</t>
        </is>
      </c>
      <c r="B1086" s="1" t="n">
        <v>45232.63908564814</v>
      </c>
      <c r="C1086" s="1" t="n">
        <v>46083</v>
      </c>
      <c r="D1086" t="inlineStr">
        <is>
          <t>KRONOBERGS LÄN</t>
        </is>
      </c>
      <c r="E1086" t="inlineStr">
        <is>
          <t>VÄXJÖ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5443-2025</t>
        </is>
      </c>
      <c r="B1087" s="1" t="n">
        <v>45692.82443287037</v>
      </c>
      <c r="C1087" s="1" t="n">
        <v>46083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34456-2023</t>
        </is>
      </c>
      <c r="B1088" s="1" t="n">
        <v>45139.69394675926</v>
      </c>
      <c r="C1088" s="1" t="n">
        <v>46083</v>
      </c>
      <c r="D1088" t="inlineStr">
        <is>
          <t>KRONOBERGS LÄN</t>
        </is>
      </c>
      <c r="E1088" t="inlineStr">
        <is>
          <t>VÄXJÖ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11643-2024</t>
        </is>
      </c>
      <c r="B1089" s="1" t="n">
        <v>45373.49592592593</v>
      </c>
      <c r="C1089" s="1" t="n">
        <v>46083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22736-2024</t>
        </is>
      </c>
      <c r="B1090" s="1" t="n">
        <v>45448.38922453704</v>
      </c>
      <c r="C1090" s="1" t="n">
        <v>46083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15935-2023</t>
        </is>
      </c>
      <c r="B1091" s="1" t="n">
        <v>45022.55644675926</v>
      </c>
      <c r="C1091" s="1" t="n">
        <v>46083</v>
      </c>
      <c r="D1091" t="inlineStr">
        <is>
          <t>KRONOBERGS LÄN</t>
        </is>
      </c>
      <c r="E1091" t="inlineStr">
        <is>
          <t>VÄXJÖ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4459-2025</t>
        </is>
      </c>
      <c r="B1092" s="1" t="n">
        <v>45686.5972800926</v>
      </c>
      <c r="C1092" s="1" t="n">
        <v>46083</v>
      </c>
      <c r="D1092" t="inlineStr">
        <is>
          <t>KRONOBERGS LÄN</t>
        </is>
      </c>
      <c r="E1092" t="inlineStr">
        <is>
          <t>VÄXJÖ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4463-2025</t>
        </is>
      </c>
      <c r="B1093" s="1" t="n">
        <v>45686.60481481482</v>
      </c>
      <c r="C1093" s="1" t="n">
        <v>46083</v>
      </c>
      <c r="D1093" t="inlineStr">
        <is>
          <t>KRONOBERGS LÄN</t>
        </is>
      </c>
      <c r="E1093" t="inlineStr">
        <is>
          <t>VÄXJÖ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5486-2025</t>
        </is>
      </c>
      <c r="B1094" s="1" t="n">
        <v>45693.34945601852</v>
      </c>
      <c r="C1094" s="1" t="n">
        <v>46083</v>
      </c>
      <c r="D1094" t="inlineStr">
        <is>
          <t>KRONOBERGS LÄN</t>
        </is>
      </c>
      <c r="E1094" t="inlineStr">
        <is>
          <t>VÄXJÖ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40525-2024</t>
        </is>
      </c>
      <c r="B1095" s="1" t="n">
        <v>45555.60236111111</v>
      </c>
      <c r="C1095" s="1" t="n">
        <v>46083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9424-2025</t>
        </is>
      </c>
      <c r="B1096" s="1" t="n">
        <v>45715.40141203703</v>
      </c>
      <c r="C1096" s="1" t="n">
        <v>46083</v>
      </c>
      <c r="D1096" t="inlineStr">
        <is>
          <t>KRONOBERGS LÄN</t>
        </is>
      </c>
      <c r="E1096" t="inlineStr">
        <is>
          <t>VÄXJÖ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2107-2024</t>
        </is>
      </c>
      <c r="B1097" s="1" t="n">
        <v>45309.47016203704</v>
      </c>
      <c r="C1097" s="1" t="n">
        <v>46083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2115-2024</t>
        </is>
      </c>
      <c r="B1098" s="1" t="n">
        <v>45309.48903935185</v>
      </c>
      <c r="C1098" s="1" t="n">
        <v>46083</v>
      </c>
      <c r="D1098" t="inlineStr">
        <is>
          <t>KRONOBERGS LÄN</t>
        </is>
      </c>
      <c r="E1098" t="inlineStr">
        <is>
          <t>VÄXJÖ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29984-2023</t>
        </is>
      </c>
      <c r="B1099" s="1" t="n">
        <v>45108</v>
      </c>
      <c r="C1099" s="1" t="n">
        <v>46083</v>
      </c>
      <c r="D1099" t="inlineStr">
        <is>
          <t>KRONOBERGS LÄN</t>
        </is>
      </c>
      <c r="E1099" t="inlineStr">
        <is>
          <t>VÄXJÖ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3111-2025</t>
        </is>
      </c>
      <c r="B1100" s="1" t="n">
        <v>45678</v>
      </c>
      <c r="C1100" s="1" t="n">
        <v>46083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40210-2023</t>
        </is>
      </c>
      <c r="B1101" s="1" t="n">
        <v>45169</v>
      </c>
      <c r="C1101" s="1" t="n">
        <v>46083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52106-2024</t>
        </is>
      </c>
      <c r="B1102" s="1" t="n">
        <v>45608.43087962963</v>
      </c>
      <c r="C1102" s="1" t="n">
        <v>46083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48228-2023</t>
        </is>
      </c>
      <c r="B1103" s="1" t="n">
        <v>45205</v>
      </c>
      <c r="C1103" s="1" t="n">
        <v>46083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22241-2023</t>
        </is>
      </c>
      <c r="B1104" s="1" t="n">
        <v>45070.29650462963</v>
      </c>
      <c r="C1104" s="1" t="n">
        <v>46083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57932-2022</t>
        </is>
      </c>
      <c r="B1105" s="1" t="n">
        <v>44900.38261574074</v>
      </c>
      <c r="C1105" s="1" t="n">
        <v>46083</v>
      </c>
      <c r="D1105" t="inlineStr">
        <is>
          <t>KRONOBERGS LÄN</t>
        </is>
      </c>
      <c r="E1105" t="inlineStr">
        <is>
          <t>VÄXJÖ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58020-2022</t>
        </is>
      </c>
      <c r="B1106" s="1" t="n">
        <v>44900.54149305556</v>
      </c>
      <c r="C1106" s="1" t="n">
        <v>46083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69748-2021</t>
        </is>
      </c>
      <c r="B1107" s="1" t="n">
        <v>44532</v>
      </c>
      <c r="C1107" s="1" t="n">
        <v>46083</v>
      </c>
      <c r="D1107" t="inlineStr">
        <is>
          <t>KRONOBERGS LÄN</t>
        </is>
      </c>
      <c r="E1107" t="inlineStr">
        <is>
          <t>VÄXJÖ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42758-2023</t>
        </is>
      </c>
      <c r="B1108" s="1" t="n">
        <v>45181</v>
      </c>
      <c r="C1108" s="1" t="n">
        <v>46083</v>
      </c>
      <c r="D1108" t="inlineStr">
        <is>
          <t>KRONOBERGS LÄN</t>
        </is>
      </c>
      <c r="E1108" t="inlineStr">
        <is>
          <t>VÄXJÖ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1096-2023</t>
        </is>
      </c>
      <c r="B1109" s="1" t="n">
        <v>44929</v>
      </c>
      <c r="C1109" s="1" t="n">
        <v>46083</v>
      </c>
      <c r="D1109" t="inlineStr">
        <is>
          <t>KRONOBERGS LÄN</t>
        </is>
      </c>
      <c r="E1109" t="inlineStr">
        <is>
          <t>VÄXJÖ</t>
        </is>
      </c>
      <c r="F1109" t="inlineStr">
        <is>
          <t>Kyrkan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14883-2022</t>
        </is>
      </c>
      <c r="B1110" s="1" t="n">
        <v>44656</v>
      </c>
      <c r="C1110" s="1" t="n">
        <v>46083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21990-2024</t>
        </is>
      </c>
      <c r="B1111" s="1" t="n">
        <v>45443.55731481482</v>
      </c>
      <c r="C1111" s="1" t="n">
        <v>46083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35546-2023</t>
        </is>
      </c>
      <c r="B1112" s="1" t="n">
        <v>45147</v>
      </c>
      <c r="C1112" s="1" t="n">
        <v>46083</v>
      </c>
      <c r="D1112" t="inlineStr">
        <is>
          <t>KRONOBERGS LÄN</t>
        </is>
      </c>
      <c r="E1112" t="inlineStr">
        <is>
          <t>VÄXJÖ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50643-2023</t>
        </is>
      </c>
      <c r="B1113" s="1" t="n">
        <v>45217.47178240741</v>
      </c>
      <c r="C1113" s="1" t="n">
        <v>46083</v>
      </c>
      <c r="D1113" t="inlineStr">
        <is>
          <t>KRONOBERGS LÄN</t>
        </is>
      </c>
      <c r="E1113" t="inlineStr">
        <is>
          <t>VÄXJÖ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42361-2022</t>
        </is>
      </c>
      <c r="B1114" s="1" t="n">
        <v>44831</v>
      </c>
      <c r="C1114" s="1" t="n">
        <v>46083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6271-2025</t>
        </is>
      </c>
      <c r="B1115" s="1" t="n">
        <v>45698.61065972222</v>
      </c>
      <c r="C1115" s="1" t="n">
        <v>46083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45514-2023</t>
        </is>
      </c>
      <c r="B1116" s="1" t="n">
        <v>45194.49377314815</v>
      </c>
      <c r="C1116" s="1" t="n">
        <v>46083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51190-2023</t>
        </is>
      </c>
      <c r="B1117" s="1" t="n">
        <v>45219.41055555556</v>
      </c>
      <c r="C1117" s="1" t="n">
        <v>46083</v>
      </c>
      <c r="D1117" t="inlineStr">
        <is>
          <t>KRONOBERGS LÄN</t>
        </is>
      </c>
      <c r="E1117" t="inlineStr">
        <is>
          <t>VÄXJÖ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64295-2023</t>
        </is>
      </c>
      <c r="B1118" s="1" t="n">
        <v>45280.34623842593</v>
      </c>
      <c r="C1118" s="1" t="n">
        <v>46083</v>
      </c>
      <c r="D1118" t="inlineStr">
        <is>
          <t>KRONOBERGS LÄN</t>
        </is>
      </c>
      <c r="E1118" t="inlineStr">
        <is>
          <t>VÄXJÖ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7720-2025</t>
        </is>
      </c>
      <c r="B1119" s="1" t="n">
        <v>45705</v>
      </c>
      <c r="C1119" s="1" t="n">
        <v>46083</v>
      </c>
      <c r="D1119" t="inlineStr">
        <is>
          <t>KRONOBERGS LÄN</t>
        </is>
      </c>
      <c r="E1119" t="inlineStr">
        <is>
          <t>VÄXJÖ</t>
        </is>
      </c>
      <c r="F1119" t="inlineStr">
        <is>
          <t>Kyrkan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37694-2024</t>
        </is>
      </c>
      <c r="B1120" s="1" t="n">
        <v>45541.6099537037</v>
      </c>
      <c r="C1120" s="1" t="n">
        <v>46083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15369-2023</t>
        </is>
      </c>
      <c r="B1121" s="1" t="n">
        <v>45019.59747685185</v>
      </c>
      <c r="C1121" s="1" t="n">
        <v>46083</v>
      </c>
      <c r="D1121" t="inlineStr">
        <is>
          <t>KRONOBERGS LÄN</t>
        </is>
      </c>
      <c r="E1121" t="inlineStr">
        <is>
          <t>VÄXJÖ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15175-2023</t>
        </is>
      </c>
      <c r="B1122" s="1" t="n">
        <v>45016.62603009259</v>
      </c>
      <c r="C1122" s="1" t="n">
        <v>46083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21023-2023</t>
        </is>
      </c>
      <c r="B1123" s="1" t="n">
        <v>45061</v>
      </c>
      <c r="C1123" s="1" t="n">
        <v>46083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41500-2024</t>
        </is>
      </c>
      <c r="B1124" s="1" t="n">
        <v>45560.46328703704</v>
      </c>
      <c r="C1124" s="1" t="n">
        <v>46083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60119-2022</t>
        </is>
      </c>
      <c r="B1125" s="1" t="n">
        <v>44909.65577546296</v>
      </c>
      <c r="C1125" s="1" t="n">
        <v>46083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10246-2023</t>
        </is>
      </c>
      <c r="B1126" s="1" t="n">
        <v>44986</v>
      </c>
      <c r="C1126" s="1" t="n">
        <v>46083</v>
      </c>
      <c r="D1126" t="inlineStr">
        <is>
          <t>KRONOBERGS LÄN</t>
        </is>
      </c>
      <c r="E1126" t="inlineStr">
        <is>
          <t>VÄXJÖ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4362-2025</t>
        </is>
      </c>
      <c r="B1127" s="1" t="n">
        <v>45686.33597222222</v>
      </c>
      <c r="C1127" s="1" t="n">
        <v>46083</v>
      </c>
      <c r="D1127" t="inlineStr">
        <is>
          <t>KRONOBERGS LÄN</t>
        </is>
      </c>
      <c r="E1127" t="inlineStr">
        <is>
          <t>VÄXJÖ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13840-2025</t>
        </is>
      </c>
      <c r="B1128" s="1" t="n">
        <v>45737.55483796296</v>
      </c>
      <c r="C1128" s="1" t="n">
        <v>46083</v>
      </c>
      <c r="D1128" t="inlineStr">
        <is>
          <t>KRONOBERGS LÄN</t>
        </is>
      </c>
      <c r="E1128" t="inlineStr">
        <is>
          <t>VÄXJÖ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52167-2023</t>
        </is>
      </c>
      <c r="B1129" s="1" t="n">
        <v>45224.33578703704</v>
      </c>
      <c r="C1129" s="1" t="n">
        <v>46083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49090-2024</t>
        </is>
      </c>
      <c r="B1130" s="1" t="n">
        <v>45594.63516203704</v>
      </c>
      <c r="C1130" s="1" t="n">
        <v>46083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59477-2024</t>
        </is>
      </c>
      <c r="B1131" s="1" t="n">
        <v>45638.51944444444</v>
      </c>
      <c r="C1131" s="1" t="n">
        <v>46083</v>
      </c>
      <c r="D1131" t="inlineStr">
        <is>
          <t>KRONOBERGS LÄN</t>
        </is>
      </c>
      <c r="E1131" t="inlineStr">
        <is>
          <t>VÄXJÖ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1469-2024</t>
        </is>
      </c>
      <c r="B1132" s="1" t="n">
        <v>45304</v>
      </c>
      <c r="C1132" s="1" t="n">
        <v>46083</v>
      </c>
      <c r="D1132" t="inlineStr">
        <is>
          <t>KRONOBERGS LÄN</t>
        </is>
      </c>
      <c r="E1132" t="inlineStr">
        <is>
          <t>VÄXJÖ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57023-2023</t>
        </is>
      </c>
      <c r="B1133" s="1" t="n">
        <v>45244.79412037037</v>
      </c>
      <c r="C1133" s="1" t="n">
        <v>46083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58134-2023</t>
        </is>
      </c>
      <c r="B1134" s="1" t="n">
        <v>45250.30325231481</v>
      </c>
      <c r="C1134" s="1" t="n">
        <v>46083</v>
      </c>
      <c r="D1134" t="inlineStr">
        <is>
          <t>KRONOBERGS LÄN</t>
        </is>
      </c>
      <c r="E1134" t="inlineStr">
        <is>
          <t>VÄXJÖ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14868-2025</t>
        </is>
      </c>
      <c r="B1135" s="1" t="n">
        <v>45743</v>
      </c>
      <c r="C1135" s="1" t="n">
        <v>46083</v>
      </c>
      <c r="D1135" t="inlineStr">
        <is>
          <t>KRONOBERGS LÄN</t>
        </is>
      </c>
      <c r="E1135" t="inlineStr">
        <is>
          <t>VÄXJÖ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40618-2024</t>
        </is>
      </c>
      <c r="B1136" s="1" t="n">
        <v>45557.51626157408</v>
      </c>
      <c r="C1136" s="1" t="n">
        <v>46083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45741-2024</t>
        </is>
      </c>
      <c r="B1137" s="1" t="n">
        <v>45579.62326388889</v>
      </c>
      <c r="C1137" s="1" t="n">
        <v>46083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35934-2024</t>
        </is>
      </c>
      <c r="B1138" s="1" t="n">
        <v>45533.45201388889</v>
      </c>
      <c r="C1138" s="1" t="n">
        <v>46083</v>
      </c>
      <c r="D1138" t="inlineStr">
        <is>
          <t>KRONOBERGS LÄN</t>
        </is>
      </c>
      <c r="E1138" t="inlineStr">
        <is>
          <t>VÄXJÖ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45579-2024</t>
        </is>
      </c>
      <c r="B1139" s="1" t="n">
        <v>45579</v>
      </c>
      <c r="C1139" s="1" t="n">
        <v>46083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7154-2025</t>
        </is>
      </c>
      <c r="B1140" s="1" t="n">
        <v>45702.38599537037</v>
      </c>
      <c r="C1140" s="1" t="n">
        <v>46083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39122-2023</t>
        </is>
      </c>
      <c r="B1141" s="1" t="n">
        <v>45165.53953703704</v>
      </c>
      <c r="C1141" s="1" t="n">
        <v>46083</v>
      </c>
      <c r="D1141" t="inlineStr">
        <is>
          <t>KRONOBERGS LÄN</t>
        </is>
      </c>
      <c r="E1141" t="inlineStr">
        <is>
          <t>VÄXJÖ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14737-2024</t>
        </is>
      </c>
      <c r="B1142" s="1" t="n">
        <v>45397.59635416666</v>
      </c>
      <c r="C1142" s="1" t="n">
        <v>46083</v>
      </c>
      <c r="D1142" t="inlineStr">
        <is>
          <t>KRONOBERGS LÄN</t>
        </is>
      </c>
      <c r="E1142" t="inlineStr">
        <is>
          <t>VÄXJÖ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46576-2023</t>
        </is>
      </c>
      <c r="B1143" s="1" t="n">
        <v>45194</v>
      </c>
      <c r="C1143" s="1" t="n">
        <v>46083</v>
      </c>
      <c r="D1143" t="inlineStr">
        <is>
          <t>KRONOBERGS LÄN</t>
        </is>
      </c>
      <c r="E1143" t="inlineStr">
        <is>
          <t>VÄXJÖ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38895-2024</t>
        </is>
      </c>
      <c r="B1144" s="1" t="n">
        <v>45547.67628472222</v>
      </c>
      <c r="C1144" s="1" t="n">
        <v>46083</v>
      </c>
      <c r="D1144" t="inlineStr">
        <is>
          <t>KRONOBERGS LÄN</t>
        </is>
      </c>
      <c r="E1144" t="inlineStr">
        <is>
          <t>VÄXJÖ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39125-2023</t>
        </is>
      </c>
      <c r="B1145" s="1" t="n">
        <v>45165.69200231481</v>
      </c>
      <c r="C1145" s="1" t="n">
        <v>46083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21011-2025</t>
        </is>
      </c>
      <c r="B1146" s="1" t="n">
        <v>45777.49822916667</v>
      </c>
      <c r="C1146" s="1" t="n">
        <v>46083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33526-2024</t>
        </is>
      </c>
      <c r="B1147" s="1" t="n">
        <v>45519.66887731481</v>
      </c>
      <c r="C1147" s="1" t="n">
        <v>46083</v>
      </c>
      <c r="D1147" t="inlineStr">
        <is>
          <t>KRONOBERGS LÄN</t>
        </is>
      </c>
      <c r="E1147" t="inlineStr">
        <is>
          <t>VÄXJÖ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21010-2025</t>
        </is>
      </c>
      <c r="B1148" s="1" t="n">
        <v>45777.49708333334</v>
      </c>
      <c r="C1148" s="1" t="n">
        <v>46083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8702-2025</t>
        </is>
      </c>
      <c r="B1149" s="1" t="n">
        <v>45712.48501157408</v>
      </c>
      <c r="C1149" s="1" t="n">
        <v>46083</v>
      </c>
      <c r="D1149" t="inlineStr">
        <is>
          <t>KRONOBERGS LÄN</t>
        </is>
      </c>
      <c r="E1149" t="inlineStr">
        <is>
          <t>VÄXJÖ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21008-2025</t>
        </is>
      </c>
      <c r="B1150" s="1" t="n">
        <v>45777.49614583333</v>
      </c>
      <c r="C1150" s="1" t="n">
        <v>46083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15749-2021</t>
        </is>
      </c>
      <c r="B1151" s="1" t="n">
        <v>44286.50398148148</v>
      </c>
      <c r="C1151" s="1" t="n">
        <v>46083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21297-2025</t>
        </is>
      </c>
      <c r="B1152" s="1" t="n">
        <v>45780.85372685185</v>
      </c>
      <c r="C1152" s="1" t="n">
        <v>46083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21298-2025</t>
        </is>
      </c>
      <c r="B1153" s="1" t="n">
        <v>45780.85699074074</v>
      </c>
      <c r="C1153" s="1" t="n">
        <v>46083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21300-2025</t>
        </is>
      </c>
      <c r="B1154" s="1" t="n">
        <v>45780.87196759259</v>
      </c>
      <c r="C1154" s="1" t="n">
        <v>46083</v>
      </c>
      <c r="D1154" t="inlineStr">
        <is>
          <t>KRONOBERGS LÄN</t>
        </is>
      </c>
      <c r="E1154" t="inlineStr">
        <is>
          <t>VÄXJÖ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21299-2025</t>
        </is>
      </c>
      <c r="B1155" s="1" t="n">
        <v>45780.86326388889</v>
      </c>
      <c r="C1155" s="1" t="n">
        <v>46083</v>
      </c>
      <c r="D1155" t="inlineStr">
        <is>
          <t>KRONOBERGS LÄN</t>
        </is>
      </c>
      <c r="E1155" t="inlineStr">
        <is>
          <t>VÄXJÖ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21526-2025</t>
        </is>
      </c>
      <c r="B1156" s="1" t="n">
        <v>45782.64549768518</v>
      </c>
      <c r="C1156" s="1" t="n">
        <v>46083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21532-2025</t>
        </is>
      </c>
      <c r="B1157" s="1" t="n">
        <v>45782.65293981481</v>
      </c>
      <c r="C1157" s="1" t="n">
        <v>46083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21301-2025</t>
        </is>
      </c>
      <c r="B1158" s="1" t="n">
        <v>45780.88527777778</v>
      </c>
      <c r="C1158" s="1" t="n">
        <v>46083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21931-2025</t>
        </is>
      </c>
      <c r="B1159" s="1" t="n">
        <v>45784.56236111111</v>
      </c>
      <c r="C1159" s="1" t="n">
        <v>46083</v>
      </c>
      <c r="D1159" t="inlineStr">
        <is>
          <t>KRONOBERGS LÄN</t>
        </is>
      </c>
      <c r="E1159" t="inlineStr">
        <is>
          <t>VÄXJÖ</t>
        </is>
      </c>
      <c r="F1159" t="inlineStr">
        <is>
          <t>Kommuner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38519-2024</t>
        </is>
      </c>
      <c r="B1160" s="1" t="n">
        <v>45546</v>
      </c>
      <c r="C1160" s="1" t="n">
        <v>46083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21695-2025</t>
        </is>
      </c>
      <c r="B1161" s="1" t="n">
        <v>45783.50424768519</v>
      </c>
      <c r="C1161" s="1" t="n">
        <v>46083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36235-2024</t>
        </is>
      </c>
      <c r="B1162" s="1" t="n">
        <v>45534.49916666667</v>
      </c>
      <c r="C1162" s="1" t="n">
        <v>46083</v>
      </c>
      <c r="D1162" t="inlineStr">
        <is>
          <t>KRONOBERGS LÄN</t>
        </is>
      </c>
      <c r="E1162" t="inlineStr">
        <is>
          <t>VÄXJÖ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28731-2024</t>
        </is>
      </c>
      <c r="B1163" s="1" t="n">
        <v>45478.56365740741</v>
      </c>
      <c r="C1163" s="1" t="n">
        <v>46083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59977-2024</t>
        </is>
      </c>
      <c r="B1164" s="1" t="n">
        <v>45642.37322916667</v>
      </c>
      <c r="C1164" s="1" t="n">
        <v>46083</v>
      </c>
      <c r="D1164" t="inlineStr">
        <is>
          <t>KRONOBERGS LÄN</t>
        </is>
      </c>
      <c r="E1164" t="inlineStr">
        <is>
          <t>VÄXJÖ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32246-2022</t>
        </is>
      </c>
      <c r="B1165" s="1" t="n">
        <v>44781.4933912037</v>
      </c>
      <c r="C1165" s="1" t="n">
        <v>46083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52191-2024</t>
        </is>
      </c>
      <c r="B1166" s="1" t="n">
        <v>45608.57136574074</v>
      </c>
      <c r="C1166" s="1" t="n">
        <v>46083</v>
      </c>
      <c r="D1166" t="inlineStr">
        <is>
          <t>KRONOBERGS LÄN</t>
        </is>
      </c>
      <c r="E1166" t="inlineStr">
        <is>
          <t>VÄXJÖ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29978-2023</t>
        </is>
      </c>
      <c r="B1167" s="1" t="n">
        <v>45108.9196875</v>
      </c>
      <c r="C1167" s="1" t="n">
        <v>46083</v>
      </c>
      <c r="D1167" t="inlineStr">
        <is>
          <t>KRONOBERGS LÄN</t>
        </is>
      </c>
      <c r="E1167" t="inlineStr">
        <is>
          <t>VÄXJÖ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9902-2025</t>
        </is>
      </c>
      <c r="B1168" s="1" t="n">
        <v>45716.88037037037</v>
      </c>
      <c r="C1168" s="1" t="n">
        <v>46083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22394-2025</t>
        </is>
      </c>
      <c r="B1169" s="1" t="n">
        <v>45786.5274537037</v>
      </c>
      <c r="C1169" s="1" t="n">
        <v>46083</v>
      </c>
      <c r="D1169" t="inlineStr">
        <is>
          <t>KRONOBERGS LÄN</t>
        </is>
      </c>
      <c r="E1169" t="inlineStr">
        <is>
          <t>VÄXJÖ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53275-2024</t>
        </is>
      </c>
      <c r="B1170" s="1" t="n">
        <v>45614.37194444444</v>
      </c>
      <c r="C1170" s="1" t="n">
        <v>46083</v>
      </c>
      <c r="D1170" t="inlineStr">
        <is>
          <t>KRONOBERGS LÄN</t>
        </is>
      </c>
      <c r="E1170" t="inlineStr">
        <is>
          <t>VÄXJÖ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22665-2025</t>
        </is>
      </c>
      <c r="B1171" s="1" t="n">
        <v>45789.48659722223</v>
      </c>
      <c r="C1171" s="1" t="n">
        <v>46083</v>
      </c>
      <c r="D1171" t="inlineStr">
        <is>
          <t>KRONOBERGS LÄN</t>
        </is>
      </c>
      <c r="E1171" t="inlineStr">
        <is>
          <t>VÄXJÖ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56864-2022</t>
        </is>
      </c>
      <c r="B1172" s="1" t="n">
        <v>44894</v>
      </c>
      <c r="C1172" s="1" t="n">
        <v>46083</v>
      </c>
      <c r="D1172" t="inlineStr">
        <is>
          <t>KRONOBERGS LÄN</t>
        </is>
      </c>
      <c r="E1172" t="inlineStr">
        <is>
          <t>VÄXJÖ</t>
        </is>
      </c>
      <c r="G1172" t="n">
        <v>8.699999999999999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22889-2025</t>
        </is>
      </c>
      <c r="B1173" s="1" t="n">
        <v>45790.39159722222</v>
      </c>
      <c r="C1173" s="1" t="n">
        <v>46083</v>
      </c>
      <c r="D1173" t="inlineStr">
        <is>
          <t>KRONOBERGS LÄN</t>
        </is>
      </c>
      <c r="E1173" t="inlineStr">
        <is>
          <t>VÄXJÖ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9901-2025</t>
        </is>
      </c>
      <c r="B1174" s="1" t="n">
        <v>45716.87329861111</v>
      </c>
      <c r="C1174" s="1" t="n">
        <v>46083</v>
      </c>
      <c r="D1174" t="inlineStr">
        <is>
          <t>KRONOBERGS LÄN</t>
        </is>
      </c>
      <c r="E1174" t="inlineStr">
        <is>
          <t>VÄXJÖ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22754-2025</t>
        </is>
      </c>
      <c r="B1175" s="1" t="n">
        <v>45789.61826388889</v>
      </c>
      <c r="C1175" s="1" t="n">
        <v>46083</v>
      </c>
      <c r="D1175" t="inlineStr">
        <is>
          <t>KRONOBERGS LÄN</t>
        </is>
      </c>
      <c r="E1175" t="inlineStr">
        <is>
          <t>VÄXJÖ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22766-2025</t>
        </is>
      </c>
      <c r="B1176" s="1" t="n">
        <v>45789.63024305556</v>
      </c>
      <c r="C1176" s="1" t="n">
        <v>46083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23431-2025</t>
        </is>
      </c>
      <c r="B1177" s="1" t="n">
        <v>45792.36583333334</v>
      </c>
      <c r="C1177" s="1" t="n">
        <v>46083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23228-2025</t>
        </is>
      </c>
      <c r="B1178" s="1" t="n">
        <v>45791.48850694444</v>
      </c>
      <c r="C1178" s="1" t="n">
        <v>46083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23203-2025</t>
        </is>
      </c>
      <c r="B1179" s="1" t="n">
        <v>45791.46324074074</v>
      </c>
      <c r="C1179" s="1" t="n">
        <v>46083</v>
      </c>
      <c r="D1179" t="inlineStr">
        <is>
          <t>KRONOBERGS LÄN</t>
        </is>
      </c>
      <c r="E1179" t="inlineStr">
        <is>
          <t>VÄXJÖ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24041-2025</t>
        </is>
      </c>
      <c r="B1180" s="1" t="n">
        <v>45796.48868055556</v>
      </c>
      <c r="C1180" s="1" t="n">
        <v>46083</v>
      </c>
      <c r="D1180" t="inlineStr">
        <is>
          <t>KRONOBERGS LÄN</t>
        </is>
      </c>
      <c r="E1180" t="inlineStr">
        <is>
          <t>VÄXJÖ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23807-2025</t>
        </is>
      </c>
      <c r="B1181" s="1" t="n">
        <v>45793.56459490741</v>
      </c>
      <c r="C1181" s="1" t="n">
        <v>46083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24294-2025</t>
        </is>
      </c>
      <c r="B1182" s="1" t="n">
        <v>45797</v>
      </c>
      <c r="C1182" s="1" t="n">
        <v>46083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18998-2025</t>
        </is>
      </c>
      <c r="B1183" s="1" t="n">
        <v>45764</v>
      </c>
      <c r="C1183" s="1" t="n">
        <v>46083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44564-2024</t>
        </is>
      </c>
      <c r="B1184" s="1" t="n">
        <v>45574.47497685185</v>
      </c>
      <c r="C1184" s="1" t="n">
        <v>46083</v>
      </c>
      <c r="D1184" t="inlineStr">
        <is>
          <t>KRONOBERGS LÄN</t>
        </is>
      </c>
      <c r="E1184" t="inlineStr">
        <is>
          <t>VÄXJÖ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54410-2024</t>
        </is>
      </c>
      <c r="B1185" s="1" t="n">
        <v>45617</v>
      </c>
      <c r="C1185" s="1" t="n">
        <v>46083</v>
      </c>
      <c r="D1185" t="inlineStr">
        <is>
          <t>KRONOBERGS LÄN</t>
        </is>
      </c>
      <c r="E1185" t="inlineStr">
        <is>
          <t>VÄXJÖ</t>
        </is>
      </c>
      <c r="F1185" t="inlineStr">
        <is>
          <t>Kommuner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887-2025</t>
        </is>
      </c>
      <c r="B1186" s="1" t="n">
        <v>45665.64802083333</v>
      </c>
      <c r="C1186" s="1" t="n">
        <v>46083</v>
      </c>
      <c r="D1186" t="inlineStr">
        <is>
          <t>KRONOBERGS LÄN</t>
        </is>
      </c>
      <c r="E1186" t="inlineStr">
        <is>
          <t>VÄXJÖ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40642-2022</t>
        </is>
      </c>
      <c r="B1187" s="1" t="n">
        <v>44824.31822916667</v>
      </c>
      <c r="C1187" s="1" t="n">
        <v>46083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33713-2025</t>
        </is>
      </c>
      <c r="B1188" s="1" t="n">
        <v>45841.85952546296</v>
      </c>
      <c r="C1188" s="1" t="n">
        <v>46083</v>
      </c>
      <c r="D1188" t="inlineStr">
        <is>
          <t>KRONOBERGS LÄN</t>
        </is>
      </c>
      <c r="E1188" t="inlineStr">
        <is>
          <t>VÄXJÖ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25584-2025</t>
        </is>
      </c>
      <c r="B1189" s="1" t="n">
        <v>45803.48552083333</v>
      </c>
      <c r="C1189" s="1" t="n">
        <v>46083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15930-2025</t>
        </is>
      </c>
      <c r="B1190" s="1" t="n">
        <v>45749.4678587963</v>
      </c>
      <c r="C1190" s="1" t="n">
        <v>46083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25530-2025</t>
        </is>
      </c>
      <c r="B1191" s="1" t="n">
        <v>45803.39724537037</v>
      </c>
      <c r="C1191" s="1" t="n">
        <v>46083</v>
      </c>
      <c r="D1191" t="inlineStr">
        <is>
          <t>KRONOBERGS LÄN</t>
        </is>
      </c>
      <c r="E1191" t="inlineStr">
        <is>
          <t>VÄXJÖ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25592-2025</t>
        </is>
      </c>
      <c r="B1192" s="1" t="n">
        <v>45803.50553240741</v>
      </c>
      <c r="C1192" s="1" t="n">
        <v>46083</v>
      </c>
      <c r="D1192" t="inlineStr">
        <is>
          <t>KRONOBERGS LÄN</t>
        </is>
      </c>
      <c r="E1192" t="inlineStr">
        <is>
          <t>VÄXJÖ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25528-2025</t>
        </is>
      </c>
      <c r="B1193" s="1" t="n">
        <v>45803.39416666667</v>
      </c>
      <c r="C1193" s="1" t="n">
        <v>46083</v>
      </c>
      <c r="D1193" t="inlineStr">
        <is>
          <t>KRONOBERGS LÄN</t>
        </is>
      </c>
      <c r="E1193" t="inlineStr">
        <is>
          <t>VÄXJÖ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25529-2025</t>
        </is>
      </c>
      <c r="B1194" s="1" t="n">
        <v>45803.39586805556</v>
      </c>
      <c r="C1194" s="1" t="n">
        <v>46083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16058-2025</t>
        </is>
      </c>
      <c r="B1195" s="1" t="n">
        <v>45749</v>
      </c>
      <c r="C1195" s="1" t="n">
        <v>46083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25583-2025</t>
        </is>
      </c>
      <c r="B1196" s="1" t="n">
        <v>45803.48383101852</v>
      </c>
      <c r="C1196" s="1" t="n">
        <v>46083</v>
      </c>
      <c r="D1196" t="inlineStr">
        <is>
          <t>KRONOBERGS LÄN</t>
        </is>
      </c>
      <c r="E1196" t="inlineStr">
        <is>
          <t>VÄXJÖ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2026-03-02T11:11:24Z</dcterms:created>
  <dcterms:modified xmlns:dcterms="http://purl.org/dc/terms/" xmlns:xsi="http://www.w3.org/2001/XMLSchema-instance" xsi:type="dcterms:W3CDTF">2026-03-02T11:11:25Z</dcterms:modified>
</cp:coreProperties>
</file>