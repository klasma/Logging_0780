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45756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</v>
      </c>
      <c r="C17" s="1" t="n">
        <v>45756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36774-2023</t>
        </is>
      </c>
      <c r="B18" s="1" t="n">
        <v>45153</v>
      </c>
      <c r="C18" s="1" t="n">
        <v>45756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Rostfläck</t>
        </is>
      </c>
      <c r="S18">
        <f>HYPERLINK("https://klasma.github.io/Logging_0780/artfynd/A 36774-2023 artfynd.xlsx", "A 36774-2023")</f>
        <v/>
      </c>
      <c r="T18">
        <f>HYPERLINK("https://klasma.github.io/Logging_0780/kartor/A 36774-2023 karta.png", "A 36774-2023")</f>
        <v/>
      </c>
      <c r="V18">
        <f>HYPERLINK("https://klasma.github.io/Logging_0780/klagomål/A 36774-2023 FSC-klagomål.docx", "A 36774-2023")</f>
        <v/>
      </c>
      <c r="W18">
        <f>HYPERLINK("https://klasma.github.io/Logging_0780/klagomålsmail/A 36774-2023 FSC-klagomål mail.docx", "A 36774-2023")</f>
        <v/>
      </c>
      <c r="X18">
        <f>HYPERLINK("https://klasma.github.io/Logging_0780/tillsyn/A 36774-2023 tillsynsbegäran.docx", "A 36774-2023")</f>
        <v/>
      </c>
      <c r="Y18">
        <f>HYPERLINK("https://klasma.github.io/Logging_0780/tillsynsmail/A 36774-2023 tillsynsbegäran mail.docx", "A 36774-2023")</f>
        <v/>
      </c>
    </row>
    <row r="19" ht="15" customHeight="1">
      <c r="A19" t="inlineStr">
        <is>
          <t>A 47670-2023</t>
        </is>
      </c>
      <c r="B19" s="1" t="n">
        <v>45203</v>
      </c>
      <c r="C19" s="1" t="n">
        <v>45756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Kopparödla</t>
        </is>
      </c>
      <c r="S19">
        <f>HYPERLINK("https://klasma.github.io/Logging_0780/artfynd/A 47670-2023 artfynd.xlsx", "A 47670-2023")</f>
        <v/>
      </c>
      <c r="T19">
        <f>HYPERLINK("https://klasma.github.io/Logging_0780/kartor/A 47670-2023 karta.png", "A 47670-2023")</f>
        <v/>
      </c>
      <c r="V19">
        <f>HYPERLINK("https://klasma.github.io/Logging_0780/klagomål/A 47670-2023 FSC-klagomål.docx", "A 47670-2023")</f>
        <v/>
      </c>
      <c r="W19">
        <f>HYPERLINK("https://klasma.github.io/Logging_0780/klagomålsmail/A 47670-2023 FSC-klagomål mail.docx", "A 47670-2023")</f>
        <v/>
      </c>
      <c r="X19">
        <f>HYPERLINK("https://klasma.github.io/Logging_0780/tillsyn/A 47670-2023 tillsynsbegäran.docx", "A 47670-2023")</f>
        <v/>
      </c>
      <c r="Y19">
        <f>HYPERLINK("https://klasma.github.io/Logging_0780/tillsynsmail/A 47670-2023 tillsynsbegäran mail.docx", "A 47670-2023")</f>
        <v/>
      </c>
      <c r="Z19">
        <f>HYPERLINK("https://klasma.github.io/Logging_0780/fåglar/A 47670-2023 prioriterade fågelarter.docx", "A 47670-2023")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45756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45756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45756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45756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45756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45756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45756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45756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45756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45756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45756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45756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45756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45756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45756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45756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45756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45756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45756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45756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45756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45756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45756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45756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45756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45756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45756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45756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45756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45756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45756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45756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45756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45756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45756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45756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45756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45756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45756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45756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45756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45756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45756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45756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45756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45756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45756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45756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45756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45756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45756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45756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45756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45756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45756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45756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45756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45756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45756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45756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45756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45756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45756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45756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45756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45756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45756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45756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45756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45756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45756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45756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45756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45756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45756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45756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45756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45756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45756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45756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45756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45756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45756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45756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45756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45756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45756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45756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45756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45756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45756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45756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45756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45756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45756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45756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45756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45756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45756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45756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45756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45756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45756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45756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45756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45756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45756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45756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45756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45756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45756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45756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45756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45756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45756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45756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45756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45756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45756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45756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45756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45756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45756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45756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45756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45756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45756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45756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45756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45756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45756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45756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45756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45756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45756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45756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45756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45756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45756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45756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45756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45756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45756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45756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45756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45756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45756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45756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45756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45756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45756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45756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45756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45756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45756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45756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45756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45756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45756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45756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45756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45756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45756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45756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45756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45756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45756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45756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45756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45756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45756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45756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45756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45756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45756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45756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45756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45756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45756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45756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45756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45756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45756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45756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45756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45756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45756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45756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45756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45756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45756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45756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45756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45756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45756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45756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45756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45756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45756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45756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45756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45756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45756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45756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45756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45756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45756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45756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45756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45756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45756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45756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45756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45756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45756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45756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45756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45756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45756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45756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45756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45756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45756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45756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45756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45756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45756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45756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45756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45756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45756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45756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45756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45756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45756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45756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45756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45756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45756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45756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45756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45756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45756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45756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45756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45756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45756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45756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45756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45756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45756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45756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45756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45756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45756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45756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45756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45756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45756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45756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45756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45756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45756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45756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45756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45756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45756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45756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45756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45756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45756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45756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45756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45756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45756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45756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45756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45756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45756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45756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45756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45756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45756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45756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45756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45756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45756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45756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45756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45756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45756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45756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45756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45756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45756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45756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45756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45756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45756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45756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45756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45756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45756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45756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45756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45756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45756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45756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45756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45756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45756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45756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45756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45756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45756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45756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45756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45756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45756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45756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45756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45756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45756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45756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45756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45756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45756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45756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45756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45756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45756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45756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45756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45756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45756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45756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45756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45756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45756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45756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45756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45756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45756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45756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45756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45756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45756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45756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45756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45756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45756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45756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45756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45756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45756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45756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45756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45756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45756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45756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45756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45756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45756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45756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45756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45756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45756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45756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45756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45756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45756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45756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45756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45756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45756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45756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45756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45756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45756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45756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45756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45756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45756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45756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45756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45756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45756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45756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45756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45756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45756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45756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45756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45756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45756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45756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45756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45756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45756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45756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45756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45756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45756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45756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45756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45756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45756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45756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45756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45756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45756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45756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45756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45756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45756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45756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45756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45756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45756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45756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45756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45756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45756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45756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45756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45756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45756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45756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45756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45756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45756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45756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45756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45756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45756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45756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45756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45756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45756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45756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45756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45756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45756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45756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45756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45756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45756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45756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45756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45756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45756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45756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45756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45756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45756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45756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45756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45756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45756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45756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45756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45756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45756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45756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45756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45756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45756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45756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45756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45756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45756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45756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45756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45756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45756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45756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45756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45756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45756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45756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45756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45756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45756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45756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45756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45756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45756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45756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45756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45756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45756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45756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45756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45756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45756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45756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45756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45756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45756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45756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45756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45756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45756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45756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45756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45756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45756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45756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45756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45756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45756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45756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45756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45756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45756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45756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45756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45756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45756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45756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45756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45756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45756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45756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45756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45756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45756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45756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45756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45756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45756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45756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45756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45756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45756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45756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45756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45756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45756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45756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45756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45756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45756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45756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45756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45756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45756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45756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45756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45756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45756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45756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45756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45756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45756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45756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45756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45756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45756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45756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45756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45756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45756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45756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45756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45756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45756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45756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45756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45756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45756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45756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45756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45756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45756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45756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45756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45756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45756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45756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45756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45756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45756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45756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45756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45756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45756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45756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45756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45756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45756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45756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45756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45756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45756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45756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45756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45756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45756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45756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45756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45756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45756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45756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45756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45756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45756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45756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45756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45756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45756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45756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45756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45756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45756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45756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45756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45756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45756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45756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45756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45756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45756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45756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45756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45756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45756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45756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45756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45756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45756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45756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45756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45756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45756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45756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45756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45756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45756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45756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45756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45756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45756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45756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45756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45756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45756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45756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45756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45756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45756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45756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45756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45756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45756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45756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45756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45756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45756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45756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45756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45756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45756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45756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45756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45756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45756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45756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45756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45756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45756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45756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14852-2025</t>
        </is>
      </c>
      <c r="B1915" s="1" t="n">
        <v>45743</v>
      </c>
      <c r="C1915" s="1" t="n">
        <v>45756</v>
      </c>
      <c r="D1915" t="inlineStr">
        <is>
          <t>KRONOBERGS LÄN</t>
        </is>
      </c>
      <c r="E1915" t="inlineStr">
        <is>
          <t>VÄXJÖ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14868-2025</t>
        </is>
      </c>
      <c r="B1916" s="1" t="n">
        <v>45743</v>
      </c>
      <c r="C1916" s="1" t="n">
        <v>45756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14989-2025</t>
        </is>
      </c>
      <c r="B1917" s="1" t="n">
        <v>45743</v>
      </c>
      <c r="C1917" s="1" t="n">
        <v>45756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14984-2025</t>
        </is>
      </c>
      <c r="B1918" s="1" t="n">
        <v>45743</v>
      </c>
      <c r="C1918" s="1" t="n">
        <v>45756</v>
      </c>
      <c r="D1918" t="inlineStr">
        <is>
          <t>KRONOBERGS LÄN</t>
        </is>
      </c>
      <c r="E1918" t="inlineStr">
        <is>
          <t>VÄXJÖ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45756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45756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45756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45756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45756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16594-2025</t>
        </is>
      </c>
      <c r="B1924" s="1" t="n">
        <v>45753</v>
      </c>
      <c r="C1924" s="1" t="n">
        <v>45756</v>
      </c>
      <c r="D1924" t="inlineStr">
        <is>
          <t>KRONOBERGS LÄN</t>
        </is>
      </c>
      <c r="E1924" t="inlineStr">
        <is>
          <t>VÄXJÖ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16591-2025</t>
        </is>
      </c>
      <c r="B1925" s="1" t="n">
        <v>45753</v>
      </c>
      <c r="C1925" s="1" t="n">
        <v>45756</v>
      </c>
      <c r="D1925" t="inlineStr">
        <is>
          <t>KRONOBERGS LÄN</t>
        </is>
      </c>
      <c r="E1925" t="inlineStr">
        <is>
          <t>VÄXJÖ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16593-2025</t>
        </is>
      </c>
      <c r="B1926" s="1" t="n">
        <v>45753</v>
      </c>
      <c r="C1926" s="1" t="n">
        <v>45756</v>
      </c>
      <c r="D1926" t="inlineStr">
        <is>
          <t>KRONOBERGS LÄN</t>
        </is>
      </c>
      <c r="E1926" t="inlineStr">
        <is>
          <t>VÄXJÖ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16592-2025</t>
        </is>
      </c>
      <c r="B1927" s="1" t="n">
        <v>45753</v>
      </c>
      <c r="C1927" s="1" t="n">
        <v>45756</v>
      </c>
      <c r="D1927" t="inlineStr">
        <is>
          <t>KRONOBERGS LÄN</t>
        </is>
      </c>
      <c r="E1927" t="inlineStr">
        <is>
          <t>VÄXJÖ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16607-2025</t>
        </is>
      </c>
      <c r="B1928" s="1" t="n">
        <v>45753</v>
      </c>
      <c r="C1928" s="1" t="n">
        <v>45756</v>
      </c>
      <c r="D1928" t="inlineStr">
        <is>
          <t>KRONOBERGS LÄN</t>
        </is>
      </c>
      <c r="E1928" t="inlineStr">
        <is>
          <t>VÄXJÖ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16767-2025</t>
        </is>
      </c>
      <c r="B1929" s="1" t="n">
        <v>45754</v>
      </c>
      <c r="C1929" s="1" t="n">
        <v>45756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16756-2025</t>
        </is>
      </c>
      <c r="B1930" s="1" t="n">
        <v>45754</v>
      </c>
      <c r="C1930" s="1" t="n">
        <v>45756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16781-2025</t>
        </is>
      </c>
      <c r="B1931" s="1" t="n">
        <v>45754</v>
      </c>
      <c r="C1931" s="1" t="n">
        <v>45756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16838-2025</t>
        </is>
      </c>
      <c r="B1932" s="1" t="n">
        <v>45754</v>
      </c>
      <c r="C1932" s="1" t="n">
        <v>45756</v>
      </c>
      <c r="D1932" t="inlineStr">
        <is>
          <t>KRONOBERGS LÄN</t>
        </is>
      </c>
      <c r="E1932" t="inlineStr">
        <is>
          <t>VÄXJÖ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45756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>
      <c r="A1934" t="inlineStr">
        <is>
          <t>A 16982-2025</t>
        </is>
      </c>
      <c r="B1934" s="1" t="n">
        <v>45755</v>
      </c>
      <c r="C1934" s="1" t="n">
        <v>45756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2025-04-09T17:09:30Z</dcterms:created>
  <dcterms:modified xmlns:dcterms="http://purl.org/dc/terms/" xmlns:xsi="http://www.w3.org/2001/XMLSchema-instance" xsi:type="dcterms:W3CDTF">2025-04-09T17:09:32Z</dcterms:modified>
</cp:coreProperties>
</file>