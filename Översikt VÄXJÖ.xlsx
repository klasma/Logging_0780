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649-2023</t>
        </is>
      </c>
      <c r="B2" t="inlineStr">
        <is>
          <t>samrådsanmälan</t>
        </is>
      </c>
      <c r="C2" t="inlineStr">
        <is>
          <t>Askåterföring</t>
        </is>
      </c>
      <c r="D2" s="1" t="n">
        <v>44974</v>
      </c>
      <c r="E2" s="1" t="n">
        <v>46314</v>
      </c>
      <c r="F2" t="inlineStr">
        <is>
          <t>KRONOBERGS LÄN</t>
        </is>
      </c>
      <c r="G2" t="inlineStr">
        <is>
          <t>VÄXJÖ</t>
        </is>
      </c>
      <c r="H2" t="inlineStr">
        <is>
          <t>Sveaskog</t>
        </is>
      </c>
      <c r="I2" t="n">
        <v>632.9</v>
      </c>
      <c r="J2" t="n">
        <v>13</v>
      </c>
      <c r="K2" t="n">
        <v>1</v>
      </c>
      <c r="L2" t="n">
        <v>7</v>
      </c>
      <c r="M2" t="n">
        <v>3</v>
      </c>
      <c r="N2" t="n">
        <v>1</v>
      </c>
      <c r="O2" t="n">
        <v>0</v>
      </c>
      <c r="P2" t="n">
        <v>0</v>
      </c>
      <c r="Q2" t="n">
        <v>11</v>
      </c>
      <c r="R2" t="n">
        <v>4</v>
      </c>
      <c r="S2" t="n">
        <v>21</v>
      </c>
      <c r="T2" t="n">
        <v>28</v>
      </c>
      <c r="U2" t="n">
        <v>15</v>
      </c>
      <c r="V2" s="2" t="inlineStr">
        <is>
          <t>Hornuggla
Brunfläckig pärlemorfjäril
Igelkott
Slåttergubbe
Järnsparv
Mindre tåtelsmygare
Motaggsvamp
Skogshare
Sparvuggla
Talltita
Älg
Tibast
Mattlummer
Nattskärra
Tjäder
Grönsiska
Kråka
Kungsfågel
Svartvit flugsnappare
Utter
Revlummer</t>
        </is>
      </c>
      <c r="W2">
        <f>HYPERLINK("https://klasma.github.io/Logging_0780/artfynd/S 649-2023 artfynd.xlsx", "S 649-2023")</f>
        <v/>
      </c>
      <c r="X2">
        <f>HYPERLINK("https://klasma.github.io/Logging_0780/kartor/S 649-2023 karta.png", "S 649-2023")</f>
        <v/>
      </c>
      <c r="Y2">
        <f>HYPERLINK("https://klasma.github.io/Logging_0780/kartor_geotiff/S 649-2023 georefererad karta.tif", "S 649-2023")</f>
        <v/>
      </c>
      <c r="AA2">
        <f>HYPERLINK("https://klasma.github.io/Logging_0780/klagomål/S 649-2023 FSC-klagomål.docx", "S 649-2023")</f>
        <v/>
      </c>
      <c r="AB2">
        <f>HYPERLINK("https://klasma.github.io/Logging_0780/klagomålsmail/S 649-2023 FSC-klagomål mail.docx", "S 649-2023")</f>
        <v/>
      </c>
      <c r="AC2">
        <f>HYPERLINK("https://klasma.github.io/Logging_0780/tillsyn/S 649-2023 tillsynsbegäran.docx", "S 649-2023")</f>
        <v/>
      </c>
      <c r="AD2">
        <f>HYPERLINK("https://klasma.github.io/Logging_0780/tillsynsmail/S 649-2023 tillsynsbegäran mail.docx", "S 649-2023")</f>
        <v/>
      </c>
      <c r="AE2">
        <f>HYPERLINK("https://klasma.github.io/Logging_0780/fåglar/S 649-2023 prioriterade fågelarter.docx", "S 649-2023")</f>
        <v/>
      </c>
    </row>
    <row r="3" ht="15" customHeight="1">
      <c r="A3" t="inlineStr">
        <is>
          <t>S 2406-2025</t>
        </is>
      </c>
      <c r="B3" t="inlineStr">
        <is>
          <t>samrådsanmälan</t>
        </is>
      </c>
      <c r="C3" t="inlineStr">
        <is>
          <t>Askåterföring</t>
        </is>
      </c>
      <c r="D3" s="1" t="n">
        <v>45895</v>
      </c>
      <c r="E3" s="1" t="n">
        <v>46314</v>
      </c>
      <c r="F3" t="inlineStr">
        <is>
          <t>KRONOBERGS LÄN</t>
        </is>
      </c>
      <c r="G3" t="inlineStr">
        <is>
          <t>VÄXJÖ</t>
        </is>
      </c>
      <c r="I3" t="n">
        <v>24</v>
      </c>
      <c r="J3" t="n">
        <v>10</v>
      </c>
      <c r="K3" t="n">
        <v>4</v>
      </c>
      <c r="L3" t="n">
        <v>6</v>
      </c>
      <c r="M3" t="n">
        <v>0</v>
      </c>
      <c r="N3" t="n">
        <v>1</v>
      </c>
      <c r="O3" t="n">
        <v>0</v>
      </c>
      <c r="P3" t="n">
        <v>0</v>
      </c>
      <c r="Q3" t="n">
        <v>7</v>
      </c>
      <c r="R3" t="n">
        <v>1</v>
      </c>
      <c r="S3" t="n">
        <v>16</v>
      </c>
      <c r="T3" t="n">
        <v>55</v>
      </c>
      <c r="U3" t="n">
        <v>1</v>
      </c>
      <c r="V3" s="2" t="inlineStr">
        <is>
          <t>Storspov
Björktrast
Gulsparv
Kattfotslav
Nötkråka
Talltita
Vedtrappmossa
Bronshjon
Flagellkvastmossa
Thomsons trägnagare
Västlig hakmossa
Spillkråka
Grönsiska
Kungsfågel
Svartvit flugsnappare
Trädlärka</t>
        </is>
      </c>
      <c r="W3">
        <f>HYPERLINK("https://klasma.github.io/Logging_0780/artfynd/S 2406-2025 artfynd.xlsx", "S 2406-2025")</f>
        <v/>
      </c>
      <c r="X3">
        <f>HYPERLINK("https://klasma.github.io/Logging_0780/kartor/S 2406-2025 karta.png", "S 2406-2025")</f>
        <v/>
      </c>
      <c r="Y3">
        <f>HYPERLINK("https://klasma.github.io/Logging_0780/kartor_geotiff/S 2406-2025 georefererad karta.tif", "S 2406-2025")</f>
        <v/>
      </c>
      <c r="AA3">
        <f>HYPERLINK("https://klasma.github.io/Logging_0780/klagomål/S 2406-2025 FSC-klagomål.docx", "S 2406-2025")</f>
        <v/>
      </c>
      <c r="AB3">
        <f>HYPERLINK("https://klasma.github.io/Logging_0780/klagomålsmail/S 2406-2025 FSC-klagomål mail.docx", "S 2406-2025")</f>
        <v/>
      </c>
      <c r="AC3">
        <f>HYPERLINK("https://klasma.github.io/Logging_0780/tillsyn/S 2406-2025 tillsynsbegäran.docx", "S 2406-2025")</f>
        <v/>
      </c>
      <c r="AD3">
        <f>HYPERLINK("https://klasma.github.io/Logging_0780/tillsynsmail/S 2406-2025 tillsynsbegäran mail.docx", "S 2406-2025")</f>
        <v/>
      </c>
      <c r="AE3">
        <f>HYPERLINK("https://klasma.github.io/Logging_0780/fåglar/S 2406-2025 prioriterade fågelarter.docx", "S 2406-2025")</f>
        <v/>
      </c>
    </row>
    <row r="4" ht="15" customHeight="1">
      <c r="A4" t="inlineStr">
        <is>
          <t>A 26127-2024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45468</v>
      </c>
      <c r="E4" s="1" t="n">
        <v>46314</v>
      </c>
      <c r="F4" t="inlineStr">
        <is>
          <t>KRONOBERGS LÄN</t>
        </is>
      </c>
      <c r="G4" t="inlineStr">
        <is>
          <t>VÄXJÖ</t>
        </is>
      </c>
      <c r="I4" t="n">
        <v>8</v>
      </c>
      <c r="J4" t="n">
        <v>6</v>
      </c>
      <c r="K4" t="n">
        <v>0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9</v>
      </c>
      <c r="T4" t="n">
        <v>10</v>
      </c>
      <c r="U4" t="n">
        <v>7</v>
      </c>
      <c r="V4" s="2" t="inlineStr">
        <is>
          <t>Dropptaggsvamp
Motaggsvamp
Talltita
Fönsterlav
Tjäder
Törnskata
Skogsödla
Vanlig groda
Fläcknycklar</t>
        </is>
      </c>
      <c r="W4">
        <f>HYPERLINK("https://klasma.github.io/Logging_0780/artfynd/A 26127-2024 artfynd.xlsx", "A 26127-2024")</f>
        <v/>
      </c>
      <c r="X4">
        <f>HYPERLINK("https://klasma.github.io/Logging_0780/kartor/A 26127-2024 karta.png", "A 26127-2024")</f>
        <v/>
      </c>
      <c r="Y4">
        <f>HYPERLINK("https://klasma.github.io/Logging_0780/kartor_geotiff/A 26127-2024 georefererad karta.tif", "A 26127-2024")</f>
        <v/>
      </c>
      <c r="AA4">
        <f>HYPERLINK("https://klasma.github.io/Logging_0780/klagomål/A 26127-2024 FSC-klagomål.docx", "A 26127-2024")</f>
        <v/>
      </c>
      <c r="AB4">
        <f>HYPERLINK("https://klasma.github.io/Logging_0780/klagomålsmail/A 26127-2024 FSC-klagomål mail.docx", "A 26127-2024")</f>
        <v/>
      </c>
      <c r="AC4">
        <f>HYPERLINK("https://klasma.github.io/Logging_0780/tillsyn/A 26127-2024 tillsynsbegäran.docx", "A 26127-2024")</f>
        <v/>
      </c>
      <c r="AD4">
        <f>HYPERLINK("https://klasma.github.io/Logging_0780/tillsynsmail/A 26127-2024 tillsynsbegäran mail.docx", "A 26127-2024")</f>
        <v/>
      </c>
      <c r="AE4">
        <f>HYPERLINK("https://klasma.github.io/Logging_0780/fåglar/A 26127-2024 prioriterade fågelarter.docx", "A 26127-2024")</f>
        <v/>
      </c>
    </row>
    <row r="5" ht="15" customHeight="1">
      <c r="A5" t="inlineStr">
        <is>
          <t>S 1318-2025</t>
        </is>
      </c>
      <c r="B5" t="inlineStr">
        <is>
          <t>samrådsanmälan</t>
        </is>
      </c>
      <c r="C5" t="inlineStr">
        <is>
          <t>Askåterföring</t>
        </is>
      </c>
      <c r="D5" s="1" t="n">
        <v>45770</v>
      </c>
      <c r="E5" s="1" t="n">
        <v>46314</v>
      </c>
      <c r="F5" t="inlineStr">
        <is>
          <t>KRONOBERGS LÄN</t>
        </is>
      </c>
      <c r="G5" t="inlineStr">
        <is>
          <t>VÄXJÖ</t>
        </is>
      </c>
      <c r="I5" t="n">
        <v>13.6</v>
      </c>
      <c r="J5" t="n">
        <v>9</v>
      </c>
      <c r="K5" t="n">
        <v>0</v>
      </c>
      <c r="L5" t="n">
        <v>5</v>
      </c>
      <c r="M5" t="n">
        <v>1</v>
      </c>
      <c r="N5" t="n">
        <v>0</v>
      </c>
      <c r="O5" t="n">
        <v>0</v>
      </c>
      <c r="P5" t="n">
        <v>0</v>
      </c>
      <c r="Q5" t="n">
        <v>6</v>
      </c>
      <c r="R5" t="n">
        <v>1</v>
      </c>
      <c r="S5" t="n">
        <v>9</v>
      </c>
      <c r="T5" t="n">
        <v>9</v>
      </c>
      <c r="U5" t="n">
        <v>0</v>
      </c>
      <c r="V5" s="2" t="inlineStr">
        <is>
          <t>Hussvala
Björktrast
Entita
Ladusvala
Sparvuggla
Talltita
Spillkråka
Grönsiska
Kungsfågel</t>
        </is>
      </c>
      <c r="W5">
        <f>HYPERLINK("https://klasma.github.io/Logging_0780/artfynd/S 1318-2025 artfynd.xlsx", "S 1318-2025")</f>
        <v/>
      </c>
      <c r="X5">
        <f>HYPERLINK("https://klasma.github.io/Logging_0780/kartor/S 1318-2025 karta.png", "S 1318-2025")</f>
        <v/>
      </c>
      <c r="Y5">
        <f>HYPERLINK("https://klasma.github.io/Logging_0780/kartor_geotiff/S 1318-2025 georefererad karta.tif", "S 1318-2025")</f>
        <v/>
      </c>
      <c r="AA5">
        <f>HYPERLINK("https://klasma.github.io/Logging_0780/klagomål/S 1318-2025 FSC-klagomål.docx", "S 1318-2025")</f>
        <v/>
      </c>
      <c r="AB5">
        <f>HYPERLINK("https://klasma.github.io/Logging_0780/klagomålsmail/S 1318-2025 FSC-klagomål mail.docx", "S 1318-2025")</f>
        <v/>
      </c>
      <c r="AC5">
        <f>HYPERLINK("https://klasma.github.io/Logging_0780/tillsyn/S 1318-2025 tillsynsbegäran.docx", "S 1318-2025")</f>
        <v/>
      </c>
      <c r="AD5">
        <f>HYPERLINK("https://klasma.github.io/Logging_0780/tillsynsmail/S 1318-2025 tillsynsbegäran mail.docx", "S 1318-2025")</f>
        <v/>
      </c>
      <c r="AE5">
        <f>HYPERLINK("https://klasma.github.io/Logging_0780/fåglar/S 1318-2025 prioriterade fågelarter.docx", "S 1318-2025")</f>
        <v/>
      </c>
    </row>
    <row r="6" ht="15" customHeight="1">
      <c r="A6" t="inlineStr">
        <is>
          <t>A 12644-2024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45384</v>
      </c>
      <c r="E6" s="1" t="n">
        <v>46314</v>
      </c>
      <c r="F6" t="inlineStr">
        <is>
          <t>KRONOBERGS LÄN</t>
        </is>
      </c>
      <c r="G6" t="inlineStr">
        <is>
          <t>VÄXJÖ</t>
        </is>
      </c>
      <c r="I6" t="n">
        <v>0.9</v>
      </c>
      <c r="J6" t="n">
        <v>4</v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10</v>
      </c>
      <c r="U6" t="n">
        <v>7</v>
      </c>
      <c r="V6" s="2" t="inlineStr">
        <is>
          <t>Stubbspretmossa
Västlig hakmossa
Vågbandad barkbock
Gröngöling
Kråka
Kungsfågel
Skogsduva</t>
        </is>
      </c>
      <c r="W6">
        <f>HYPERLINK("https://klasma.github.io/Logging_0780/artfynd/A 12644-2024 artfynd.xlsx", "A 12644-2024")</f>
        <v/>
      </c>
      <c r="X6">
        <f>HYPERLINK("https://klasma.github.io/Logging_0780/kartor/A 12644-2024 karta.png", "A 12644-2024")</f>
        <v/>
      </c>
      <c r="Y6">
        <f>HYPERLINK("https://klasma.github.io/Logging_0780/kartor_geotiff/A 12644-2024 georefererad karta.tif", "A 12644-2024")</f>
        <v/>
      </c>
      <c r="AA6">
        <f>HYPERLINK("https://klasma.github.io/Logging_0780/klagomål/A 12644-2024 FSC-klagomål.docx", "A 12644-2024")</f>
        <v/>
      </c>
      <c r="AB6">
        <f>HYPERLINK("https://klasma.github.io/Logging_0780/klagomålsmail/A 12644-2024 FSC-klagomål mail.docx", "A 12644-2024")</f>
        <v/>
      </c>
      <c r="AC6">
        <f>HYPERLINK("https://klasma.github.io/Logging_0780/tillsyn/A 12644-2024 tillsynsbegäran.docx", "A 12644-2024")</f>
        <v/>
      </c>
      <c r="AD6">
        <f>HYPERLINK("https://klasma.github.io/Logging_0780/tillsynsmail/A 12644-2024 tillsynsbegäran mail.docx", "A 12644-2024")</f>
        <v/>
      </c>
    </row>
    <row r="7" ht="15" customHeight="1">
      <c r="A7" t="inlineStr">
        <is>
          <t>A 39037-2025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45888</v>
      </c>
      <c r="E7" s="1" t="n">
        <v>46314</v>
      </c>
      <c r="F7" t="inlineStr">
        <is>
          <t>KRONOBERGS LÄN</t>
        </is>
      </c>
      <c r="G7" t="inlineStr">
        <is>
          <t>VÄXJÖ</t>
        </is>
      </c>
      <c r="I7" t="n">
        <v>2.2</v>
      </c>
      <c r="J7" t="n">
        <v>1</v>
      </c>
      <c r="K7" t="n">
        <v>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9</v>
      </c>
      <c r="U7" t="n">
        <v>0</v>
      </c>
      <c r="V7" s="2" t="inlineStr">
        <is>
          <t>Bårdlav
Fällmossa
Korallblylav
Rävticka
Skinnlav
Västlig hakmossa
Blåsippa</t>
        </is>
      </c>
      <c r="W7">
        <f>HYPERLINK("https://klasma.github.io/Logging_0780/artfynd/A 39037-2025 artfynd.xlsx", "A 39037-2025")</f>
        <v/>
      </c>
      <c r="X7">
        <f>HYPERLINK("https://klasma.github.io/Logging_0780/kartor/A 39037-2025 karta.png", "A 39037-2025")</f>
        <v/>
      </c>
      <c r="Y7">
        <f>HYPERLINK("https://klasma.github.io/Logging_0780/kartor_geotiff/A 39037-2025 georefererad karta.tif", "A 39037-2025")</f>
        <v/>
      </c>
      <c r="AA7">
        <f>HYPERLINK("https://klasma.github.io/Logging_0780/klagomål/A 39037-2025 FSC-klagomål.docx", "A 39037-2025")</f>
        <v/>
      </c>
      <c r="AB7">
        <f>HYPERLINK("https://klasma.github.io/Logging_0780/klagomålsmail/A 39037-2025 FSC-klagomål mail.docx", "A 39037-2025")</f>
        <v/>
      </c>
      <c r="AC7">
        <f>HYPERLINK("https://klasma.github.io/Logging_0780/tillsyn/A 39037-2025 tillsynsbegäran.docx", "A 39037-2025")</f>
        <v/>
      </c>
      <c r="AD7">
        <f>HYPERLINK("https://klasma.github.io/Logging_0780/tillsynsmail/A 39037-2025 tillsynsbegäran mail.docx", "A 39037-2025")</f>
        <v/>
      </c>
    </row>
    <row r="8" ht="15" customHeight="1">
      <c r="A8" t="inlineStr">
        <is>
          <t>A 25236-2026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46175</v>
      </c>
      <c r="E8" s="1" t="n">
        <v>46314</v>
      </c>
      <c r="F8" t="inlineStr">
        <is>
          <t>KRONOBERGS LÄN</t>
        </is>
      </c>
      <c r="G8" t="inlineStr">
        <is>
          <t>VÄXJÖ</t>
        </is>
      </c>
      <c r="I8" t="n">
        <v>2.2</v>
      </c>
      <c r="J8" t="n">
        <v>1</v>
      </c>
      <c r="K8" t="n">
        <v>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</v>
      </c>
      <c r="T8" t="n">
        <v>9</v>
      </c>
      <c r="U8" t="n">
        <v>0</v>
      </c>
      <c r="V8" s="2" t="inlineStr">
        <is>
          <t>Bårdlav
Fällmossa
Korallblylav
Rävticka
Skinnlav
Västlig hakmossa
Blåsippa</t>
        </is>
      </c>
      <c r="W8">
        <f>HYPERLINK("https://klasma.github.io/Logging_0780/artfynd/A 25236-2026 artfynd.xlsx", "A 25236-2026")</f>
        <v/>
      </c>
      <c r="X8">
        <f>HYPERLINK("https://klasma.github.io/Logging_0780/kartor/A 25236-2026 karta.png", "A 25236-2026")</f>
        <v/>
      </c>
      <c r="Y8">
        <f>HYPERLINK("https://klasma.github.io/Logging_0780/kartor_geotiff/A 25236-2026 georefererad karta.tif", "A 25236-2026")</f>
        <v/>
      </c>
      <c r="AA8">
        <f>HYPERLINK("https://klasma.github.io/Logging_0780/klagomål/A 25236-2026 FSC-klagomål.docx", "A 25236-2026")</f>
        <v/>
      </c>
      <c r="AB8">
        <f>HYPERLINK("https://klasma.github.io/Logging_0780/klagomålsmail/A 25236-2026 FSC-klagomål mail.docx", "A 25236-2026")</f>
        <v/>
      </c>
      <c r="AC8">
        <f>HYPERLINK("https://klasma.github.io/Logging_0780/tillsyn/A 25236-2026 tillsynsbegäran.docx", "A 25236-2026")</f>
        <v/>
      </c>
      <c r="AD8">
        <f>HYPERLINK("https://klasma.github.io/Logging_0780/tillsynsmail/A 25236-2026 tillsynsbegäran mail.docx", "A 25236-2026")</f>
        <v/>
      </c>
    </row>
    <row r="9" ht="15" customHeight="1">
      <c r="A9" t="inlineStr">
        <is>
          <t>A 33208-2023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45127</v>
      </c>
      <c r="E9" s="1" t="n">
        <v>46314</v>
      </c>
      <c r="F9" t="inlineStr">
        <is>
          <t>KRONOBERGS LÄN</t>
        </is>
      </c>
      <c r="G9" t="inlineStr">
        <is>
          <t>VÄXJÖ</t>
        </is>
      </c>
      <c r="I9" t="n">
        <v>1.5</v>
      </c>
      <c r="J9" t="n">
        <v>7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7</v>
      </c>
      <c r="T9" t="n">
        <v>7</v>
      </c>
      <c r="U9" t="n">
        <v>0</v>
      </c>
      <c r="V9" s="2" t="inlineStr">
        <is>
          <t>Björktrast
Ladusvala
Skrattmås
Kråka
Röd glada
Svartvit flugsnappare
Trana</t>
        </is>
      </c>
      <c r="W9">
        <f>HYPERLINK("https://klasma.github.io/Logging_0780/artfynd/A 33208-2023 artfynd.xlsx", "A 33208-2023")</f>
        <v/>
      </c>
      <c r="X9">
        <f>HYPERLINK("https://klasma.github.io/Logging_0780/kartor/A 33208-2023 karta.png", "A 33208-2023")</f>
        <v/>
      </c>
      <c r="Y9">
        <f>HYPERLINK("https://klasma.github.io/Logging_0780/kartor_geotiff/A 33208-2023 georefererad karta.tif", "A 33208-2023")</f>
        <v/>
      </c>
      <c r="AA9">
        <f>HYPERLINK("https://klasma.github.io/Logging_0780/klagomål/A 33208-2023 FSC-klagomål.docx", "A 33208-2023")</f>
        <v/>
      </c>
      <c r="AB9">
        <f>HYPERLINK("https://klasma.github.io/Logging_0780/klagomålsmail/A 33208-2023 FSC-klagomål mail.docx", "A 33208-2023")</f>
        <v/>
      </c>
      <c r="AC9">
        <f>HYPERLINK("https://klasma.github.io/Logging_0780/tillsyn/A 33208-2023 tillsynsbegäran.docx", "A 33208-2023")</f>
        <v/>
      </c>
      <c r="AD9">
        <f>HYPERLINK("https://klasma.github.io/Logging_0780/tillsynsmail/A 33208-2023 tillsynsbegäran mail.docx", "A 33208-2023")</f>
        <v/>
      </c>
      <c r="AE9">
        <f>HYPERLINK("https://klasma.github.io/Logging_0780/fåglar/A 33208-2023 prioriterade fågelarter.docx", "A 33208-2023")</f>
        <v/>
      </c>
    </row>
    <row r="10" ht="15" customHeight="1">
      <c r="A10" t="inlineStr">
        <is>
          <t>A 27315-2025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45812</v>
      </c>
      <c r="E10" s="1" t="n">
        <v>46314</v>
      </c>
      <c r="F10" t="inlineStr">
        <is>
          <t>KRONOBERGS LÄN</t>
        </is>
      </c>
      <c r="G10" t="inlineStr">
        <is>
          <t>VÄXJÖ</t>
        </is>
      </c>
      <c r="I10" t="n">
        <v>28.5</v>
      </c>
      <c r="J10" t="n">
        <v>5</v>
      </c>
      <c r="K10" t="n">
        <v>1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0</v>
      </c>
      <c r="S10" t="n">
        <v>7</v>
      </c>
      <c r="T10" t="n">
        <v>9</v>
      </c>
      <c r="U10" t="n">
        <v>5</v>
      </c>
      <c r="V10" s="2" t="inlineStr">
        <is>
          <t>Duvhök
Tallriska
Talltita
Blåmossa
Spillkråka
Tjäder
Kungsfågel</t>
        </is>
      </c>
      <c r="W10">
        <f>HYPERLINK("https://klasma.github.io/Logging_0780/artfynd/A 27315-2025 artfynd.xlsx", "A 27315-2025")</f>
        <v/>
      </c>
      <c r="X10">
        <f>HYPERLINK("https://klasma.github.io/Logging_0780/kartor/A 27315-2025 karta.png", "A 27315-2025")</f>
        <v/>
      </c>
      <c r="Y10">
        <f>HYPERLINK("https://klasma.github.io/Logging_0780/kartor_geotiff/A 27315-2025 georefererad karta.tif", "A 27315-2025")</f>
        <v/>
      </c>
      <c r="AA10">
        <f>HYPERLINK("https://klasma.github.io/Logging_0780/klagomål/A 27315-2025 FSC-klagomål.docx", "A 27315-2025")</f>
        <v/>
      </c>
      <c r="AB10">
        <f>HYPERLINK("https://klasma.github.io/Logging_0780/klagomålsmail/A 27315-2025 FSC-klagomål mail.docx", "A 27315-2025")</f>
        <v/>
      </c>
      <c r="AC10">
        <f>HYPERLINK("https://klasma.github.io/Logging_0780/tillsyn/A 27315-2025 tillsynsbegäran.docx", "A 27315-2025")</f>
        <v/>
      </c>
      <c r="AD10">
        <f>HYPERLINK("https://klasma.github.io/Logging_0780/tillsynsmail/A 27315-2025 tillsynsbegäran mail.docx", "A 27315-2025")</f>
        <v/>
      </c>
      <c r="AE10">
        <f>HYPERLINK("https://klasma.github.io/Logging_0780/fåglar/A 27315-2025 prioriterade fågelarter.docx", "A 27315-2025")</f>
        <v/>
      </c>
    </row>
    <row r="11" ht="15" customHeight="1">
      <c r="A11" t="inlineStr">
        <is>
          <t>A 54189-2025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45964</v>
      </c>
      <c r="E11" s="1" t="n">
        <v>46314</v>
      </c>
      <c r="F11" t="inlineStr">
        <is>
          <t>KRONOBERGS LÄN</t>
        </is>
      </c>
      <c r="G11" t="inlineStr">
        <is>
          <t>VÄXJÖ</t>
        </is>
      </c>
      <c r="I11" t="n">
        <v>1.2</v>
      </c>
      <c r="J11" t="n">
        <v>6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6</v>
      </c>
      <c r="T11" t="n">
        <v>6</v>
      </c>
      <c r="U11" t="n">
        <v>1</v>
      </c>
      <c r="V11" s="2" t="inlineStr">
        <is>
          <t>Björktrast
Gulsparv
Talltita
Grönsiska
Kråka
Kungsfågel</t>
        </is>
      </c>
      <c r="W11">
        <f>HYPERLINK("https://klasma.github.io/Logging_0780/artfynd/A 54189-2025 artfynd.xlsx", "A 54189-2025")</f>
        <v/>
      </c>
      <c r="X11">
        <f>HYPERLINK("https://klasma.github.io/Logging_0780/kartor/A 54189-2025 karta.png", "A 54189-2025")</f>
        <v/>
      </c>
      <c r="Y11">
        <f>HYPERLINK("https://klasma.github.io/Logging_0780/kartor_geotiff/A 54189-2025 georefererad karta.tif", "A 54189-2025")</f>
        <v/>
      </c>
      <c r="AA11">
        <f>HYPERLINK("https://klasma.github.io/Logging_0780/klagomål/A 54189-2025 FSC-klagomål.docx", "A 54189-2025")</f>
        <v/>
      </c>
      <c r="AB11">
        <f>HYPERLINK("https://klasma.github.io/Logging_0780/klagomålsmail/A 54189-2025 FSC-klagomål mail.docx", "A 54189-2025")</f>
        <v/>
      </c>
      <c r="AC11">
        <f>HYPERLINK("https://klasma.github.io/Logging_0780/tillsyn/A 54189-2025 tillsynsbegäran.docx", "A 54189-2025")</f>
        <v/>
      </c>
      <c r="AD11">
        <f>HYPERLINK("https://klasma.github.io/Logging_0780/tillsynsmail/A 54189-2025 tillsynsbegäran mail.docx", "A 54189-2025")</f>
        <v/>
      </c>
      <c r="AE11">
        <f>HYPERLINK("https://klasma.github.io/Logging_0780/fåglar/A 54189-2025 prioriterade fågelarter.docx", "A 54189-2025")</f>
        <v/>
      </c>
    </row>
    <row r="12" ht="15" customHeight="1">
      <c r="A12" t="inlineStr">
        <is>
          <t>A 27226-2026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46188</v>
      </c>
      <c r="E12" s="1" t="n">
        <v>46314</v>
      </c>
      <c r="F12" t="inlineStr">
        <is>
          <t>KRONOBERGS LÄN</t>
        </is>
      </c>
      <c r="G12" t="inlineStr">
        <is>
          <t>VÄXJÖ</t>
        </is>
      </c>
      <c r="I12" t="n">
        <v>4.2</v>
      </c>
      <c r="J12" t="n">
        <v>2</v>
      </c>
      <c r="K12" t="n">
        <v>1</v>
      </c>
      <c r="L12" t="n">
        <v>3</v>
      </c>
      <c r="M12" t="n">
        <v>1</v>
      </c>
      <c r="N12" t="n">
        <v>0</v>
      </c>
      <c r="O12" t="n">
        <v>0</v>
      </c>
      <c r="P12" t="n">
        <v>0</v>
      </c>
      <c r="Q12" t="n">
        <v>4</v>
      </c>
      <c r="R12" t="n">
        <v>1</v>
      </c>
      <c r="S12" t="n">
        <v>6</v>
      </c>
      <c r="T12" t="n">
        <v>7</v>
      </c>
      <c r="U12" t="n">
        <v>1</v>
      </c>
      <c r="V12" s="2" t="inlineStr">
        <is>
          <t>Garnlav
Tallticka
Talltita
Ullticka
Skogshakmossa
Kungsfågel</t>
        </is>
      </c>
      <c r="W12">
        <f>HYPERLINK("https://klasma.github.io/Logging_0780/artfynd/A 27226-2026 artfynd.xlsx", "A 27226-2026")</f>
        <v/>
      </c>
      <c r="X12">
        <f>HYPERLINK("https://klasma.github.io/Logging_0780/kartor/A 27226-2026 karta.png", "A 27226-2026")</f>
        <v/>
      </c>
      <c r="Y12">
        <f>HYPERLINK("https://klasma.github.io/Logging_0780/kartor_geotiff/A 27226-2026 georefererad karta.tif", "A 27226-2026")</f>
        <v/>
      </c>
      <c r="AA12">
        <f>HYPERLINK("https://klasma.github.io/Logging_0780/klagomål/A 27226-2026 FSC-klagomål.docx", "A 27226-2026")</f>
        <v/>
      </c>
      <c r="AB12">
        <f>HYPERLINK("https://klasma.github.io/Logging_0780/klagomålsmail/A 27226-2026 FSC-klagomål mail.docx", "A 27226-2026")</f>
        <v/>
      </c>
      <c r="AC12">
        <f>HYPERLINK("https://klasma.github.io/Logging_0780/tillsyn/A 27226-2026 tillsynsbegäran.docx", "A 27226-2026")</f>
        <v/>
      </c>
      <c r="AD12">
        <f>HYPERLINK("https://klasma.github.io/Logging_0780/tillsynsmail/A 27226-2026 tillsynsbegäran mail.docx", "A 27226-2026")</f>
        <v/>
      </c>
      <c r="AE12">
        <f>HYPERLINK("https://klasma.github.io/Logging_0780/fåglar/A 27226-2026 prioriterade fågelarter.docx", "A 27226-2026")</f>
        <v/>
      </c>
    </row>
    <row r="13" ht="15" customHeight="1">
      <c r="A13" t="inlineStr">
        <is>
          <t>A 27227-2026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46188</v>
      </c>
      <c r="E13" s="1" t="n">
        <v>46314</v>
      </c>
      <c r="F13" t="inlineStr">
        <is>
          <t>KRONOBERGS LÄN</t>
        </is>
      </c>
      <c r="G13" t="inlineStr">
        <is>
          <t>VÄXJÖ</t>
        </is>
      </c>
      <c r="I13" t="n">
        <v>5.9</v>
      </c>
      <c r="J13" t="n">
        <v>3</v>
      </c>
      <c r="K13" t="n">
        <v>1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6</v>
      </c>
      <c r="T13" t="n">
        <v>7</v>
      </c>
      <c r="U13" t="n">
        <v>0</v>
      </c>
      <c r="V13" s="2" t="inlineStr">
        <is>
          <t>Apelsinticka
Tallticka
Talltita
Västlig hakmossa
Tofsmes
Kungsfågel</t>
        </is>
      </c>
      <c r="W13">
        <f>HYPERLINK("https://klasma.github.io/Logging_0780/artfynd/A 27227-2026 artfynd.xlsx", "A 27227-2026")</f>
        <v/>
      </c>
      <c r="X13">
        <f>HYPERLINK("https://klasma.github.io/Logging_0780/kartor/A 27227-2026 karta.png", "A 27227-2026")</f>
        <v/>
      </c>
      <c r="Y13">
        <f>HYPERLINK("https://klasma.github.io/Logging_0780/kartor_geotiff/A 27227-2026 georefererad karta.tif", "A 27227-2026")</f>
        <v/>
      </c>
      <c r="AA13">
        <f>HYPERLINK("https://klasma.github.io/Logging_0780/klagomål/A 27227-2026 FSC-klagomål.docx", "A 27227-2026")</f>
        <v/>
      </c>
      <c r="AB13">
        <f>HYPERLINK("https://klasma.github.io/Logging_0780/klagomålsmail/A 27227-2026 FSC-klagomål mail.docx", "A 27227-2026")</f>
        <v/>
      </c>
      <c r="AC13">
        <f>HYPERLINK("https://klasma.github.io/Logging_0780/tillsyn/A 27227-2026 tillsynsbegäran.docx", "A 27227-2026")</f>
        <v/>
      </c>
      <c r="AD13">
        <f>HYPERLINK("https://klasma.github.io/Logging_0780/tillsynsmail/A 27227-2026 tillsynsbegäran mail.docx", "A 27227-2026")</f>
        <v/>
      </c>
      <c r="AE13">
        <f>HYPERLINK("https://klasma.github.io/Logging_0780/fåglar/A 27227-2026 prioriterade fågelarter.docx", "A 27227-2026")</f>
        <v/>
      </c>
    </row>
    <row r="14" ht="15" customHeight="1">
      <c r="A14" t="inlineStr">
        <is>
          <t>A 29073-2026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46199</v>
      </c>
      <c r="E14" s="1" t="n">
        <v>46314</v>
      </c>
      <c r="F14" t="inlineStr">
        <is>
          <t>KRONOBERGS LÄN</t>
        </is>
      </c>
      <c r="G14" t="inlineStr">
        <is>
          <t>VÄXJÖ</t>
        </is>
      </c>
      <c r="I14" t="n">
        <v>5</v>
      </c>
      <c r="J14" t="n">
        <v>5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</v>
      </c>
      <c r="T14" t="n">
        <v>6</v>
      </c>
      <c r="U14" t="n">
        <v>0</v>
      </c>
      <c r="V14" s="2" t="inlineStr">
        <is>
          <t>Blåmossa
Spillkråka
Gröngöling
Grönsiska
Kungsfågel
Sångsvan</t>
        </is>
      </c>
      <c r="W14">
        <f>HYPERLINK("https://klasma.github.io/Logging_0780/artfynd/A 29073-2026 artfynd.xlsx", "A 29073-2026")</f>
        <v/>
      </c>
      <c r="X14">
        <f>HYPERLINK("https://klasma.github.io/Logging_0780/kartor/A 29073-2026 karta.png", "A 29073-2026")</f>
        <v/>
      </c>
      <c r="Y14">
        <f>HYPERLINK("https://klasma.github.io/Logging_0780/kartor_geotiff/A 29073-2026 georefererad karta.tif", "A 29073-2026")</f>
        <v/>
      </c>
      <c r="AA14">
        <f>HYPERLINK("https://klasma.github.io/Logging_0780/klagomål/A 29073-2026 FSC-klagomål.docx", "A 29073-2026")</f>
        <v/>
      </c>
      <c r="AB14">
        <f>HYPERLINK("https://klasma.github.io/Logging_0780/klagomålsmail/A 29073-2026 FSC-klagomål mail.docx", "A 29073-2026")</f>
        <v/>
      </c>
      <c r="AC14">
        <f>HYPERLINK("https://klasma.github.io/Logging_0780/tillsyn/A 29073-2026 tillsynsbegäran.docx", "A 29073-2026")</f>
        <v/>
      </c>
      <c r="AD14">
        <f>HYPERLINK("https://klasma.github.io/Logging_0780/tillsynsmail/A 29073-2026 tillsynsbegäran mail.docx", "A 29073-2026")</f>
        <v/>
      </c>
      <c r="AE14">
        <f>HYPERLINK("https://klasma.github.io/Logging_0780/fåglar/A 29073-2026 prioriterade fågelarter.docx", "A 29073-2026")</f>
        <v/>
      </c>
    </row>
    <row r="15" ht="15" customHeight="1">
      <c r="A15" t="inlineStr">
        <is>
          <t>A 5027-2023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44958</v>
      </c>
      <c r="E15" s="1" t="n">
        <v>46314</v>
      </c>
      <c r="F15" t="inlineStr">
        <is>
          <t>KRONOBERGS LÄN</t>
        </is>
      </c>
      <c r="G15" t="inlineStr">
        <is>
          <t>VÄXJÖ</t>
        </is>
      </c>
      <c r="I15" t="n">
        <v>3.1</v>
      </c>
      <c r="J15" t="n">
        <v>5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5</v>
      </c>
      <c r="T15" t="n">
        <v>10</v>
      </c>
      <c r="U15" t="n">
        <v>10</v>
      </c>
      <c r="V15" s="2" t="inlineStr">
        <is>
          <t>Gulsparv
Göktyta
Kråka
Kungsfågel
Törnskata</t>
        </is>
      </c>
      <c r="W15">
        <f>HYPERLINK("https://klasma.github.io/Logging_0780/artfynd/A 5027-2023 artfynd.xlsx", "A 5027-2023")</f>
        <v/>
      </c>
      <c r="X15">
        <f>HYPERLINK("https://klasma.github.io/Logging_0780/kartor/A 5027-2023 karta.png", "A 5027-2023")</f>
        <v/>
      </c>
      <c r="Y15">
        <f>HYPERLINK("https://klasma.github.io/Logging_0780/kartor_geotiff/A 5027-2023 georefererad karta.tif", "A 5027-2023")</f>
        <v/>
      </c>
      <c r="AA15">
        <f>HYPERLINK("https://klasma.github.io/Logging_0780/klagomål/A 5027-2023 FSC-klagomål.docx", "A 5027-2023")</f>
        <v/>
      </c>
      <c r="AB15">
        <f>HYPERLINK("https://klasma.github.io/Logging_0780/klagomålsmail/A 5027-2023 FSC-klagomål mail.docx", "A 5027-2023")</f>
        <v/>
      </c>
      <c r="AC15">
        <f>HYPERLINK("https://klasma.github.io/Logging_0780/tillsyn/A 5027-2023 tillsynsbegäran.docx", "A 5027-2023")</f>
        <v/>
      </c>
      <c r="AD15">
        <f>HYPERLINK("https://klasma.github.io/Logging_0780/tillsynsmail/A 5027-2023 tillsynsbegäran mail.docx", "A 5027-2023")</f>
        <v/>
      </c>
      <c r="AE15">
        <f>HYPERLINK("https://klasma.github.io/Logging_0780/fåglar/A 5027-2023 prioriterade fågelarter.docx", "A 5027-2023")</f>
        <v/>
      </c>
    </row>
    <row r="16" ht="15" customHeight="1">
      <c r="A16" t="inlineStr">
        <is>
          <t>A 24339-2023</t>
        </is>
      </c>
      <c r="B16" t="inlineStr">
        <is>
          <t>avverkningsanmälan</t>
        </is>
      </c>
      <c r="C16" t="inlineStr">
        <is>
          <t>Avverkning för annat ändamål</t>
        </is>
      </c>
      <c r="D16" s="1" t="n">
        <v>45081</v>
      </c>
      <c r="E16" s="1" t="n">
        <v>46314</v>
      </c>
      <c r="F16" t="inlineStr">
        <is>
          <t>KRONOBERGS LÄN</t>
        </is>
      </c>
      <c r="G16" t="inlineStr">
        <is>
          <t>VÄXJÖ</t>
        </is>
      </c>
      <c r="I16" t="n">
        <v>3</v>
      </c>
      <c r="J16" t="n">
        <v>5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5</v>
      </c>
      <c r="T16" t="n">
        <v>5</v>
      </c>
      <c r="U16" t="n">
        <v>0</v>
      </c>
      <c r="V16" s="2" t="inlineStr">
        <is>
          <t>Tofsvipa
Spillkråka
Gröngöling
Trana
Huggorm</t>
        </is>
      </c>
      <c r="W16">
        <f>HYPERLINK("https://klasma.github.io/Logging_0780/artfynd/A 24339-2023 artfynd.xlsx", "A 24339-2023")</f>
        <v/>
      </c>
      <c r="X16">
        <f>HYPERLINK("https://klasma.github.io/Logging_0780/kartor/A 24339-2023 karta.png", "A 24339-2023")</f>
        <v/>
      </c>
      <c r="Y16">
        <f>HYPERLINK("https://klasma.github.io/Logging_0780/kartor_geotiff/A 24339-2023 georefererad karta.tif", "A 24339-2023")</f>
        <v/>
      </c>
      <c r="AA16">
        <f>HYPERLINK("https://klasma.github.io/Logging_0780/klagomål/A 24339-2023 FSC-klagomål.docx", "A 24339-2023")</f>
        <v/>
      </c>
      <c r="AB16">
        <f>HYPERLINK("https://klasma.github.io/Logging_0780/klagomålsmail/A 24339-2023 FSC-klagomål mail.docx", "A 24339-2023")</f>
        <v/>
      </c>
      <c r="AC16">
        <f>HYPERLINK("https://klasma.github.io/Logging_0780/tillsyn/A 24339-2023 tillsynsbegäran.docx", "A 24339-2023")</f>
        <v/>
      </c>
      <c r="AD16">
        <f>HYPERLINK("https://klasma.github.io/Logging_0780/tillsynsmail/A 24339-2023 tillsynsbegäran mail.docx", "A 24339-2023")</f>
        <v/>
      </c>
      <c r="AE16">
        <f>HYPERLINK("https://klasma.github.io/Logging_0780/fåglar/A 24339-2023 prioriterade fågelarter.docx", "A 24339-2023")</f>
        <v/>
      </c>
    </row>
    <row r="17" ht="15" customHeight="1">
      <c r="A17" t="inlineStr">
        <is>
          <t>A 297-2024</t>
        </is>
      </c>
      <c r="B17" t="inlineStr">
        <is>
          <t>avverkningsanmälan</t>
        </is>
      </c>
      <c r="C17" t="inlineStr">
        <is>
          <t>Avverkning för annat ändamål</t>
        </is>
      </c>
      <c r="D17" s="1" t="n">
        <v>45294</v>
      </c>
      <c r="E17" s="1" t="n">
        <v>46314</v>
      </c>
      <c r="F17" t="inlineStr">
        <is>
          <t>KRONOBERGS LÄN</t>
        </is>
      </c>
      <c r="G17" t="inlineStr">
        <is>
          <t>VÄXJÖ</t>
        </is>
      </c>
      <c r="H17" t="inlineStr">
        <is>
          <t>Kyrkan</t>
        </is>
      </c>
      <c r="I17" t="n">
        <v>8.199999999999999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4</v>
      </c>
      <c r="U17" t="n">
        <v>4</v>
      </c>
      <c r="V17" s="2" t="inlineStr">
        <is>
          <t>Talltita
Blomkålssvamp
Tjäder
Kungsfågel</t>
        </is>
      </c>
      <c r="W17">
        <f>HYPERLINK("https://klasma.github.io/Logging_0780/artfynd/A 297-2024 artfynd.xlsx", "A 297-2024")</f>
        <v/>
      </c>
      <c r="X17">
        <f>HYPERLINK("https://klasma.github.io/Logging_0780/kartor/A 297-2024 karta.png", "A 297-2024")</f>
        <v/>
      </c>
      <c r="Y17">
        <f>HYPERLINK("https://klasma.github.io/Logging_0780/kartor_geotiff/A 297-2024 georefererad karta.tif", "A 297-2024")</f>
        <v/>
      </c>
      <c r="AA17">
        <f>HYPERLINK("https://klasma.github.io/Logging_0780/klagomål/A 297-2024 FSC-klagomål.docx", "A 297-2024")</f>
        <v/>
      </c>
      <c r="AB17">
        <f>HYPERLINK("https://klasma.github.io/Logging_0780/klagomålsmail/A 297-2024 FSC-klagomål mail.docx", "A 297-2024")</f>
        <v/>
      </c>
      <c r="AC17">
        <f>HYPERLINK("https://klasma.github.io/Logging_0780/tillsyn/A 297-2024 tillsynsbegäran.docx", "A 297-2024")</f>
        <v/>
      </c>
      <c r="AD17">
        <f>HYPERLINK("https://klasma.github.io/Logging_0780/tillsynsmail/A 297-2024 tillsynsbegäran mail.docx", "A 297-2024")</f>
        <v/>
      </c>
      <c r="AE17">
        <f>HYPERLINK("https://klasma.github.io/Logging_0780/fåglar/A 297-2024 prioriterade fågelarter.docx", "A 297-2024")</f>
        <v/>
      </c>
    </row>
    <row r="18" ht="15" customHeight="1">
      <c r="A18" t="inlineStr">
        <is>
          <t>A 60471-2025</t>
        </is>
      </c>
      <c r="B18" t="inlineStr">
        <is>
          <t>avverkningsanmälan</t>
        </is>
      </c>
      <c r="C18" t="inlineStr">
        <is>
          <t>Avverkning för annat ändamål</t>
        </is>
      </c>
      <c r="D18" s="1" t="n">
        <v>45995</v>
      </c>
      <c r="E18" s="1" t="n">
        <v>46314</v>
      </c>
      <c r="F18" t="inlineStr">
        <is>
          <t>KRONOBERGS LÄN</t>
        </is>
      </c>
      <c r="G18" t="inlineStr">
        <is>
          <t>VÄXJÖ</t>
        </is>
      </c>
      <c r="I18" t="n">
        <v>5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4</v>
      </c>
      <c r="T18" t="n">
        <v>5</v>
      </c>
      <c r="U18" t="n">
        <v>1</v>
      </c>
      <c r="V18" s="2" t="inlineStr">
        <is>
          <t>Mindre hackspett
Scharlakansskål
Grönsiska
Ärtsångare</t>
        </is>
      </c>
      <c r="W18">
        <f>HYPERLINK("https://klasma.github.io/Logging_0780/artfynd/A 60471-2025 artfynd.xlsx", "A 60471-2025")</f>
        <v/>
      </c>
      <c r="X18">
        <f>HYPERLINK("https://klasma.github.io/Logging_0780/kartor/A 60471-2025 karta.png", "A 60471-2025")</f>
        <v/>
      </c>
      <c r="Y18">
        <f>HYPERLINK("https://klasma.github.io/Logging_0780/kartor_geotiff/A 60471-2025 georefererad karta.tif", "A 60471-2025")</f>
        <v/>
      </c>
      <c r="AA18">
        <f>HYPERLINK("https://klasma.github.io/Logging_0780/klagomål/A 60471-2025 FSC-klagomål.docx", "A 60471-2025")</f>
        <v/>
      </c>
      <c r="AB18">
        <f>HYPERLINK("https://klasma.github.io/Logging_0780/klagomålsmail/A 60471-2025 FSC-klagomål mail.docx", "A 60471-2025")</f>
        <v/>
      </c>
      <c r="AC18">
        <f>HYPERLINK("https://klasma.github.io/Logging_0780/tillsyn/A 60471-2025 tillsynsbegäran.docx", "A 60471-2025")</f>
        <v/>
      </c>
      <c r="AD18">
        <f>HYPERLINK("https://klasma.github.io/Logging_0780/tillsynsmail/A 60471-2025 tillsynsbegäran mail.docx", "A 60471-2025")</f>
        <v/>
      </c>
      <c r="AE18">
        <f>HYPERLINK("https://klasma.github.io/Logging_0780/fåglar/A 60471-2025 prioriterade fågelarter.docx", "A 60471-2025")</f>
        <v/>
      </c>
    </row>
    <row r="19" ht="15" customHeight="1">
      <c r="A19" t="inlineStr">
        <is>
          <t>A 30317-2024</t>
        </is>
      </c>
      <c r="B19" t="inlineStr">
        <is>
          <t>avverkningsanmälan</t>
        </is>
      </c>
      <c r="C19" t="inlineStr">
        <is>
          <t>Avverkning för att bevara och utveckla /försöksver</t>
        </is>
      </c>
      <c r="D19" s="1" t="n">
        <v>45490</v>
      </c>
      <c r="E19" s="1" t="n">
        <v>46314</v>
      </c>
      <c r="F19" t="inlineStr">
        <is>
          <t>KRONOBERGS LÄN</t>
        </is>
      </c>
      <c r="G19" t="inlineStr">
        <is>
          <t>VÄXJÖ</t>
        </is>
      </c>
      <c r="H19" t="inlineStr">
        <is>
          <t>Sveaskog</t>
        </is>
      </c>
      <c r="I19" t="n">
        <v>2.7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4</v>
      </c>
      <c r="U19" t="n">
        <v>2</v>
      </c>
      <c r="V19" s="2" t="inlineStr">
        <is>
          <t>Järnsparv
Scharlakansskål
Lopplummer (aggregat)
Revlummer</t>
        </is>
      </c>
      <c r="W19">
        <f>HYPERLINK("https://klasma.github.io/Logging_0780/artfynd/A 30317-2024 artfynd.xlsx", "A 30317-2024")</f>
        <v/>
      </c>
      <c r="X19">
        <f>HYPERLINK("https://klasma.github.io/Logging_0780/kartor/A 30317-2024 karta.png", "A 30317-2024")</f>
        <v/>
      </c>
      <c r="Y19">
        <f>HYPERLINK("https://klasma.github.io/Logging_0780/kartor_geotiff/A 30317-2024 georefererad karta.tif", "A 30317-2024")</f>
        <v/>
      </c>
      <c r="AA19">
        <f>HYPERLINK("https://klasma.github.io/Logging_0780/klagomål/A 30317-2024 FSC-klagomål.docx", "A 30317-2024")</f>
        <v/>
      </c>
      <c r="AB19">
        <f>HYPERLINK("https://klasma.github.io/Logging_0780/klagomålsmail/A 30317-2024 FSC-klagomål mail.docx", "A 30317-2024")</f>
        <v/>
      </c>
      <c r="AC19">
        <f>HYPERLINK("https://klasma.github.io/Logging_0780/tillsyn/A 30317-2024 tillsynsbegäran.docx", "A 30317-2024")</f>
        <v/>
      </c>
      <c r="AD19">
        <f>HYPERLINK("https://klasma.github.io/Logging_0780/tillsynsmail/A 30317-2024 tillsynsbegäran mail.docx", "A 30317-2024")</f>
        <v/>
      </c>
      <c r="AE19">
        <f>HYPERLINK("https://klasma.github.io/Logging_0780/fåglar/A 30317-2024 prioriterade fågelarter.docx", "A 30317-2024")</f>
        <v/>
      </c>
    </row>
    <row r="20" ht="15" customHeight="1">
      <c r="A20" t="inlineStr">
        <is>
          <t>A 33422-2026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46247</v>
      </c>
      <c r="E20" s="1" t="n">
        <v>46314</v>
      </c>
      <c r="F20" t="inlineStr">
        <is>
          <t>KRONOBERGS LÄN</t>
        </is>
      </c>
      <c r="G20" t="inlineStr">
        <is>
          <t>VÄXJÖ</t>
        </is>
      </c>
      <c r="I20" t="n">
        <v>3.2</v>
      </c>
      <c r="J20" t="n">
        <v>1</v>
      </c>
      <c r="K20" t="n">
        <v>0</v>
      </c>
      <c r="L20" t="n">
        <v>2</v>
      </c>
      <c r="M20" t="n">
        <v>0</v>
      </c>
      <c r="N20" t="n">
        <v>1</v>
      </c>
      <c r="O20" t="n">
        <v>0</v>
      </c>
      <c r="P20" t="n">
        <v>0</v>
      </c>
      <c r="Q20" t="n">
        <v>3</v>
      </c>
      <c r="R20" t="n">
        <v>1</v>
      </c>
      <c r="S20" t="n">
        <v>4</v>
      </c>
      <c r="T20" t="n">
        <v>4</v>
      </c>
      <c r="U20" t="n">
        <v>0</v>
      </c>
      <c r="V20" s="2" t="inlineStr">
        <is>
          <t>Ask
Borsttåg
Vårstarr
Gullviva</t>
        </is>
      </c>
      <c r="W20">
        <f>HYPERLINK("https://klasma.github.io/Logging_0780/artfynd/A 33422-2026 artfynd.xlsx", "A 33422-2026")</f>
        <v/>
      </c>
      <c r="X20">
        <f>HYPERLINK("https://klasma.github.io/Logging_0780/kartor/A 33422-2026 karta.png", "A 33422-2026")</f>
        <v/>
      </c>
      <c r="Y20">
        <f>HYPERLINK("https://klasma.github.io/Logging_0780/kartor_geotiff/A 33422-2026 georefererad karta.tif", "A 33422-2026")</f>
        <v/>
      </c>
      <c r="AA20">
        <f>HYPERLINK("https://klasma.github.io/Logging_0780/klagomål/A 33422-2026 FSC-klagomål.docx", "A 33422-2026")</f>
        <v/>
      </c>
      <c r="AB20">
        <f>HYPERLINK("https://klasma.github.io/Logging_0780/klagomålsmail/A 33422-2026 FSC-klagomål mail.docx", "A 33422-2026")</f>
        <v/>
      </c>
      <c r="AC20">
        <f>HYPERLINK("https://klasma.github.io/Logging_0780/tillsyn/A 33422-2026 tillsynsbegäran.docx", "A 33422-2026")</f>
        <v/>
      </c>
      <c r="AD20">
        <f>HYPERLINK("https://klasma.github.io/Logging_0780/tillsynsmail/A 33422-2026 tillsynsbegäran mail.docx", "A 33422-2026")</f>
        <v/>
      </c>
    </row>
    <row r="21" ht="15" customHeight="1">
      <c r="A21" t="inlineStr">
        <is>
          <t>A 30495-2026</t>
        </is>
      </c>
      <c r="B21" t="inlineStr">
        <is>
          <t>avverkningsanmälan</t>
        </is>
      </c>
      <c r="C21" t="inlineStr">
        <is>
          <t>Avverkning för att bevara och utveckla /försöksver</t>
        </is>
      </c>
      <c r="D21" s="1" t="n">
        <v>46204</v>
      </c>
      <c r="E21" s="1" t="n">
        <v>46314</v>
      </c>
      <c r="F21" t="inlineStr">
        <is>
          <t>KRONOBERGS LÄN</t>
        </is>
      </c>
      <c r="G21" t="inlineStr">
        <is>
          <t>VÄXJÖ</t>
        </is>
      </c>
      <c r="H21" t="inlineStr">
        <is>
          <t>Kyrkan</t>
        </is>
      </c>
      <c r="I21" t="n">
        <v>2</v>
      </c>
      <c r="J21" t="n">
        <v>2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3</v>
      </c>
      <c r="T21" t="n">
        <v>3</v>
      </c>
      <c r="U21" t="n">
        <v>0</v>
      </c>
      <c r="V21" s="2" t="inlineStr">
        <is>
          <t>Karminticka
Järnsparv
Revlummer</t>
        </is>
      </c>
      <c r="W21">
        <f>HYPERLINK("https://klasma.github.io/Logging_0780/artfynd/A 30495-2026 artfynd.xlsx", "A 30495-2026")</f>
        <v/>
      </c>
      <c r="X21">
        <f>HYPERLINK("https://klasma.github.io/Logging_0780/kartor/A 30495-2026 karta.png", "A 30495-2026")</f>
        <v/>
      </c>
      <c r="Y21">
        <f>HYPERLINK("https://klasma.github.io/Logging_0780/kartor_geotiff/A 30495-2026 georefererad karta.tif", "A 30495-2026")</f>
        <v/>
      </c>
      <c r="AA21">
        <f>HYPERLINK("https://klasma.github.io/Logging_0780/klagomål/A 30495-2026 FSC-klagomål.docx", "A 30495-2026")</f>
        <v/>
      </c>
      <c r="AB21">
        <f>HYPERLINK("https://klasma.github.io/Logging_0780/klagomålsmail/A 30495-2026 FSC-klagomål mail.docx", "A 30495-2026")</f>
        <v/>
      </c>
      <c r="AC21">
        <f>HYPERLINK("https://klasma.github.io/Logging_0780/tillsyn/A 30495-2026 tillsynsbegäran.docx", "A 30495-2026")</f>
        <v/>
      </c>
      <c r="AD21">
        <f>HYPERLINK("https://klasma.github.io/Logging_0780/tillsynsmail/A 30495-2026 tillsynsbegäran mail.docx", "A 30495-2026")</f>
        <v/>
      </c>
      <c r="AE21">
        <f>HYPERLINK("https://klasma.github.io/Logging_0780/fåglar/A 30495-2026 prioriterade fågelarter.docx", "A 30495-2026")</f>
        <v/>
      </c>
    </row>
    <row r="22" ht="15" customHeight="1">
      <c r="A22" t="inlineStr">
        <is>
          <t>A 32940-2026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46244</v>
      </c>
      <c r="E22" s="1" t="n">
        <v>46314</v>
      </c>
      <c r="F22" t="inlineStr">
        <is>
          <t>KRONOBERGS LÄN</t>
        </is>
      </c>
      <c r="G22" t="inlineStr">
        <is>
          <t>VÄXJÖ</t>
        </is>
      </c>
      <c r="I22" t="n">
        <v>7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3</v>
      </c>
      <c r="U22" t="n">
        <v>3</v>
      </c>
      <c r="V22" s="2" t="inlineStr">
        <is>
          <t>Blomkålssvamp
Mattlummer
Tjäder</t>
        </is>
      </c>
      <c r="W22">
        <f>HYPERLINK("https://klasma.github.io/Logging_0780/artfynd/A 32940-2026 artfynd.xlsx", "A 32940-2026")</f>
        <v/>
      </c>
      <c r="X22">
        <f>HYPERLINK("https://klasma.github.io/Logging_0780/kartor/A 32940-2026 karta.png", "A 32940-2026")</f>
        <v/>
      </c>
      <c r="Y22">
        <f>HYPERLINK("https://klasma.github.io/Logging_0780/kartor_geotiff/A 32940-2026 georefererad karta.tif", "A 32940-2026")</f>
        <v/>
      </c>
      <c r="AA22">
        <f>HYPERLINK("https://klasma.github.io/Logging_0780/klagomål/A 32940-2026 FSC-klagomål.docx", "A 32940-2026")</f>
        <v/>
      </c>
      <c r="AB22">
        <f>HYPERLINK("https://klasma.github.io/Logging_0780/klagomålsmail/A 32940-2026 FSC-klagomål mail.docx", "A 32940-2026")</f>
        <v/>
      </c>
      <c r="AC22">
        <f>HYPERLINK("https://klasma.github.io/Logging_0780/tillsyn/A 32940-2026 tillsynsbegäran.docx", "A 32940-2026")</f>
        <v/>
      </c>
      <c r="AD22">
        <f>HYPERLINK("https://klasma.github.io/Logging_0780/tillsynsmail/A 32940-2026 tillsynsbegäran mail.docx", "A 32940-2026")</f>
        <v/>
      </c>
      <c r="AE22">
        <f>HYPERLINK("https://klasma.github.io/Logging_0780/fåglar/A 32940-2026 prioriterade fågelarter.docx", "A 32940-2026")</f>
        <v/>
      </c>
    </row>
    <row r="23" ht="15" customHeight="1">
      <c r="A23" t="inlineStr">
        <is>
          <t>A 8819-2024</t>
        </is>
      </c>
      <c r="B23" t="inlineStr">
        <is>
          <t>avverkningsanmälan</t>
        </is>
      </c>
      <c r="C23" t="inlineStr">
        <is>
          <t>Avverkning för annat ändamål</t>
        </is>
      </c>
      <c r="D23" s="1" t="n">
        <v>45356</v>
      </c>
      <c r="E23" s="1" t="n">
        <v>46314</v>
      </c>
      <c r="F23" t="inlineStr">
        <is>
          <t>KRONOBERGS LÄN</t>
        </is>
      </c>
      <c r="G23" t="inlineStr">
        <is>
          <t>VÄXJÖ</t>
        </is>
      </c>
      <c r="I23" t="n">
        <v>4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4</v>
      </c>
      <c r="U23" t="n">
        <v>1</v>
      </c>
      <c r="V23" s="2" t="inlineStr">
        <is>
          <t>Spillkråka
Kungsfågel
Revlummer</t>
        </is>
      </c>
      <c r="W23">
        <f>HYPERLINK("https://klasma.github.io/Logging_0780/artfynd/A 8819-2024 artfynd.xlsx", "A 8819-2024")</f>
        <v/>
      </c>
      <c r="X23">
        <f>HYPERLINK("https://klasma.github.io/Logging_0780/kartor/A 8819-2024 karta.png", "A 8819-2024")</f>
        <v/>
      </c>
      <c r="Y23">
        <f>HYPERLINK("https://klasma.github.io/Logging_0780/kartor_geotiff/A 8819-2024 georefererad karta.tif", "A 8819-2024")</f>
        <v/>
      </c>
      <c r="AA23">
        <f>HYPERLINK("https://klasma.github.io/Logging_0780/klagomål/A 8819-2024 FSC-klagomål.docx", "A 8819-2024")</f>
        <v/>
      </c>
      <c r="AB23">
        <f>HYPERLINK("https://klasma.github.io/Logging_0780/klagomålsmail/A 8819-2024 FSC-klagomål mail.docx", "A 8819-2024")</f>
        <v/>
      </c>
      <c r="AC23">
        <f>HYPERLINK("https://klasma.github.io/Logging_0780/tillsyn/A 8819-2024 tillsynsbegäran.docx", "A 8819-2024")</f>
        <v/>
      </c>
      <c r="AD23">
        <f>HYPERLINK("https://klasma.github.io/Logging_0780/tillsynsmail/A 8819-2024 tillsynsbegäran mail.docx", "A 8819-2024")</f>
        <v/>
      </c>
      <c r="AE23">
        <f>HYPERLINK("https://klasma.github.io/Logging_0780/fåglar/A 8819-2024 prioriterade fågelarter.docx", "A 8819-2024")</f>
        <v/>
      </c>
    </row>
    <row r="24" ht="15" customHeight="1">
      <c r="A24" t="inlineStr">
        <is>
          <t>S 1206-2024</t>
        </is>
      </c>
      <c r="B24" t="inlineStr">
        <is>
          <t>samrådsanmälan</t>
        </is>
      </c>
      <c r="C24" t="inlineStr">
        <is>
          <t>Åtgärd i nyckelbiotop</t>
        </is>
      </c>
      <c r="D24" s="1" t="n">
        <v>45344</v>
      </c>
      <c r="E24" s="1" t="n">
        <v>46314</v>
      </c>
      <c r="F24" t="inlineStr">
        <is>
          <t>KRONOBERGS LÄN</t>
        </is>
      </c>
      <c r="G24" t="inlineStr">
        <is>
          <t>VÄXJÖ</t>
        </is>
      </c>
      <c r="I24" t="n">
        <v>5.4</v>
      </c>
      <c r="J24" t="n">
        <v>1</v>
      </c>
      <c r="K24" t="n">
        <v>2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3</v>
      </c>
      <c r="T24" t="n">
        <v>3</v>
      </c>
      <c r="U24" t="n">
        <v>0</v>
      </c>
      <c r="V24" s="2" t="inlineStr">
        <is>
          <t>Knärot
Stor revmossa
Vedticka</t>
        </is>
      </c>
      <c r="W24">
        <f>HYPERLINK("https://klasma.github.io/Logging_0780/artfynd/S 1206-2024 artfynd.xlsx", "S 1206-2024")</f>
        <v/>
      </c>
      <c r="X24">
        <f>HYPERLINK("https://klasma.github.io/Logging_0780/kartor/S 1206-2024 karta.png", "S 1206-2024")</f>
        <v/>
      </c>
      <c r="Y24">
        <f>HYPERLINK("https://klasma.github.io/Logging_0780/kartor_geotiff/S 1206-2024 georefererad karta.tif", "S 1206-2024")</f>
        <v/>
      </c>
      <c r="Z24">
        <f>HYPERLINK("https://klasma.github.io/Logging_0780/knärot/S 1206-2024 karta knärot.png", "S 1206-2024")</f>
        <v/>
      </c>
      <c r="AA24">
        <f>HYPERLINK("https://klasma.github.io/Logging_0780/klagomål/S 1206-2024 FSC-klagomål.docx", "S 1206-2024")</f>
        <v/>
      </c>
      <c r="AB24">
        <f>HYPERLINK("https://klasma.github.io/Logging_0780/klagomålsmail/S 1206-2024 FSC-klagomål mail.docx", "S 1206-2024")</f>
        <v/>
      </c>
      <c r="AC24">
        <f>HYPERLINK("https://klasma.github.io/Logging_0780/tillsyn/S 1206-2024 tillsynsbegäran.docx", "S 1206-2024")</f>
        <v/>
      </c>
      <c r="AD24">
        <f>HYPERLINK("https://klasma.github.io/Logging_0780/tillsynsmail/S 1206-2024 tillsynsbegäran mail.docx", "S 1206-2024")</f>
        <v/>
      </c>
    </row>
    <row r="25" ht="15" customHeight="1">
      <c r="A25" t="inlineStr">
        <is>
          <t>S 768-2026</t>
        </is>
      </c>
      <c r="B25" t="inlineStr">
        <is>
          <t>samrådsanmälan</t>
        </is>
      </c>
      <c r="C25" t="inlineStr">
        <is>
          <t>Skogsbilväg</t>
        </is>
      </c>
      <c r="D25" s="1" t="n">
        <v>46098</v>
      </c>
      <c r="E25" s="1" t="n">
        <v>46314</v>
      </c>
      <c r="F25" t="inlineStr">
        <is>
          <t>KRONOBERGS LÄN</t>
        </is>
      </c>
      <c r="G25" t="inlineStr">
        <is>
          <t>VÄXJÖ</t>
        </is>
      </c>
      <c r="I25" t="n">
        <v>0.1</v>
      </c>
      <c r="J25" t="n">
        <v>0</v>
      </c>
      <c r="K25" t="n">
        <v>1</v>
      </c>
      <c r="L25" t="n">
        <v>0</v>
      </c>
      <c r="M25" t="n">
        <v>0</v>
      </c>
      <c r="N25" t="n">
        <v>2</v>
      </c>
      <c r="O25" t="n">
        <v>0</v>
      </c>
      <c r="P25" t="n">
        <v>0</v>
      </c>
      <c r="Q25" t="n">
        <v>2</v>
      </c>
      <c r="R25" t="n">
        <v>2</v>
      </c>
      <c r="S25" t="n">
        <v>3</v>
      </c>
      <c r="T25" t="n">
        <v>3</v>
      </c>
      <c r="U25" t="n">
        <v>0</v>
      </c>
      <c r="V25" s="2" t="inlineStr">
        <is>
          <t>Almlav
Ask
Guldlockmossa</t>
        </is>
      </c>
      <c r="W25">
        <f>HYPERLINK("https://klasma.github.io/Logging_0780/artfynd/S 768-2026 artfynd.xlsx", "S 768-2026")</f>
        <v/>
      </c>
      <c r="X25">
        <f>HYPERLINK("https://klasma.github.io/Logging_0780/kartor/S 768-2026 karta.png", "S 768-2026")</f>
        <v/>
      </c>
      <c r="Y25">
        <f>HYPERLINK("https://klasma.github.io/Logging_0780/kartor_geotiff/S 768-2026 georefererad karta.tif", "S 768-2026")</f>
        <v/>
      </c>
      <c r="AA25">
        <f>HYPERLINK("https://klasma.github.io/Logging_0780/klagomål/S 768-2026 FSC-klagomål.docx", "S 768-2026")</f>
        <v/>
      </c>
      <c r="AB25">
        <f>HYPERLINK("https://klasma.github.io/Logging_0780/klagomålsmail/S 768-2026 FSC-klagomål mail.docx", "S 768-2026")</f>
        <v/>
      </c>
      <c r="AC25">
        <f>HYPERLINK("https://klasma.github.io/Logging_0780/tillsyn/S 768-2026 tillsynsbegäran.docx", "S 768-2026")</f>
        <v/>
      </c>
      <c r="AD25">
        <f>HYPERLINK("https://klasma.github.io/Logging_0780/tillsynsmail/S 768-2026 tillsynsbegäran mail.docx", "S 768-2026")</f>
        <v/>
      </c>
    </row>
    <row r="26" ht="15" customHeight="1">
      <c r="A26" t="inlineStr">
        <is>
          <t>S 2467-2026</t>
        </is>
      </c>
      <c r="B26" t="inlineStr">
        <is>
          <t>samrådsanmälan</t>
        </is>
      </c>
      <c r="C26" t="inlineStr">
        <is>
          <t>Askåterföring</t>
        </is>
      </c>
      <c r="D26" s="1" t="n">
        <v>46286</v>
      </c>
      <c r="E26" s="1" t="n">
        <v>46314</v>
      </c>
      <c r="F26" t="inlineStr">
        <is>
          <t>KRONOBERGS LÄN</t>
        </is>
      </c>
      <c r="G26" t="inlineStr">
        <is>
          <t>VÄXJÖ</t>
        </is>
      </c>
      <c r="I26" t="n">
        <v>30.6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3</v>
      </c>
      <c r="T26" t="n">
        <v>3</v>
      </c>
      <c r="U26" t="n">
        <v>0</v>
      </c>
      <c r="V26" s="2" t="inlineStr">
        <is>
          <t>Slåttergubbe
Blåmossa
Grönvit nattviol</t>
        </is>
      </c>
      <c r="W26">
        <f>HYPERLINK("https://klasma.github.io/Logging_0780/artfynd/S 2467-2026 artfynd.xlsx", "S 2467-2026")</f>
        <v/>
      </c>
      <c r="X26">
        <f>HYPERLINK("https://klasma.github.io/Logging_0780/kartor/S 2467-2026 karta.png", "S 2467-2026")</f>
        <v/>
      </c>
      <c r="Y26">
        <f>HYPERLINK("https://klasma.github.io/Logging_0780/kartor_geotiff/S 2467-2026 georefererad karta.tif", "S 2467-2026")</f>
        <v/>
      </c>
      <c r="AA26">
        <f>HYPERLINK("https://klasma.github.io/Logging_0780/klagomål/S 2467-2026 FSC-klagomål.docx", "S 2467-2026")</f>
        <v/>
      </c>
      <c r="AB26">
        <f>HYPERLINK("https://klasma.github.io/Logging_0780/klagomålsmail/S 2467-2026 FSC-klagomål mail.docx", "S 2467-2026")</f>
        <v/>
      </c>
      <c r="AC26">
        <f>HYPERLINK("https://klasma.github.io/Logging_0780/tillsyn/S 2467-2026 tillsynsbegäran.docx", "S 2467-2026")</f>
        <v/>
      </c>
      <c r="AD26">
        <f>HYPERLINK("https://klasma.github.io/Logging_0780/tillsynsmail/S 2467-2026 tillsynsbegäran mail.docx", "S 2467-2026")</f>
        <v/>
      </c>
    </row>
    <row r="27" ht="15" customHeight="1">
      <c r="A27" t="inlineStr">
        <is>
          <t>A 69689-2021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44532</v>
      </c>
      <c r="E27" s="1" t="n">
        <v>46314</v>
      </c>
      <c r="F27" t="inlineStr">
        <is>
          <t>KRONOBERGS LÄN</t>
        </is>
      </c>
      <c r="G27" t="inlineStr">
        <is>
          <t>VÄXJÖ</t>
        </is>
      </c>
      <c r="H27" t="inlineStr">
        <is>
          <t>Övriga statliga verk och myndigheter</t>
        </is>
      </c>
      <c r="I27" t="n">
        <v>2.7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2</v>
      </c>
      <c r="T27" t="n">
        <v>2</v>
      </c>
      <c r="U27" t="n">
        <v>1</v>
      </c>
      <c r="V27" s="2" t="inlineStr">
        <is>
          <t>Talltita
Hasselmus</t>
        </is>
      </c>
      <c r="W27">
        <f>HYPERLINK("https://klasma.github.io/Logging_0780/artfynd/A 69689-2021 artfynd.xlsx", "A 69689-2021")</f>
        <v/>
      </c>
      <c r="X27">
        <f>HYPERLINK("https://klasma.github.io/Logging_0780/kartor/A 69689-2021 karta.png", "A 69689-2021")</f>
        <v/>
      </c>
      <c r="Y27">
        <f>HYPERLINK("https://klasma.github.io/Logging_0780/kartor_geotiff/A 69689-2021 georefererad karta.tif", "A 69689-2021")</f>
        <v/>
      </c>
      <c r="AA27">
        <f>HYPERLINK("https://klasma.github.io/Logging_0780/klagomål/A 69689-2021 FSC-klagomål.docx", "A 69689-2021")</f>
        <v/>
      </c>
      <c r="AB27">
        <f>HYPERLINK("https://klasma.github.io/Logging_0780/klagomålsmail/A 69689-2021 FSC-klagomål mail.docx", "A 69689-2021")</f>
        <v/>
      </c>
      <c r="AC27">
        <f>HYPERLINK("https://klasma.github.io/Logging_0780/tillsyn/A 69689-2021 tillsynsbegäran.docx", "A 69689-2021")</f>
        <v/>
      </c>
      <c r="AD27">
        <f>HYPERLINK("https://klasma.github.io/Logging_0780/tillsynsmail/A 69689-2021 tillsynsbegäran mail.docx", "A 69689-2021")</f>
        <v/>
      </c>
      <c r="AE27">
        <f>HYPERLINK("https://klasma.github.io/Logging_0780/fåglar/A 69689-2021 prioriterade fågelarter.docx", "A 69689-2021")</f>
        <v/>
      </c>
    </row>
    <row r="28" ht="15" customHeight="1">
      <c r="A28" t="inlineStr">
        <is>
          <t>A 37016-2025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45874</v>
      </c>
      <c r="E28" s="1" t="n">
        <v>46314</v>
      </c>
      <c r="F28" t="inlineStr">
        <is>
          <t>KRONOBERGS LÄN</t>
        </is>
      </c>
      <c r="G28" t="inlineStr">
        <is>
          <t>VÄXJÖ</t>
        </is>
      </c>
      <c r="H28" t="inlineStr">
        <is>
          <t>Kyrkan</t>
        </is>
      </c>
      <c r="I28" t="n">
        <v>2.5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2</v>
      </c>
      <c r="T28" t="n">
        <v>2</v>
      </c>
      <c r="U28" t="n">
        <v>0</v>
      </c>
      <c r="V28" s="2" t="inlineStr">
        <is>
          <t>Vitfläckig guldvinge
Vanlig snok</t>
        </is>
      </c>
      <c r="W28">
        <f>HYPERLINK("https://klasma.github.io/Logging_0780/artfynd/A 37016-2025 artfynd.xlsx", "A 37016-2025")</f>
        <v/>
      </c>
      <c r="X28">
        <f>HYPERLINK("https://klasma.github.io/Logging_0780/kartor/A 37016-2025 karta.png", "A 37016-2025")</f>
        <v/>
      </c>
      <c r="Y28">
        <f>HYPERLINK("https://klasma.github.io/Logging_0780/kartor_geotiff/A 37016-2025 georefererad karta.tif", "A 37016-2025")</f>
        <v/>
      </c>
      <c r="AA28">
        <f>HYPERLINK("https://klasma.github.io/Logging_0780/klagomål/A 37016-2025 FSC-klagomål.docx", "A 37016-2025")</f>
        <v/>
      </c>
      <c r="AB28">
        <f>HYPERLINK("https://klasma.github.io/Logging_0780/klagomålsmail/A 37016-2025 FSC-klagomål mail.docx", "A 37016-2025")</f>
        <v/>
      </c>
      <c r="AC28">
        <f>HYPERLINK("https://klasma.github.io/Logging_0780/tillsyn/A 37016-2025 tillsynsbegäran.docx", "A 37016-2025")</f>
        <v/>
      </c>
      <c r="AD28">
        <f>HYPERLINK("https://klasma.github.io/Logging_0780/tillsynsmail/A 37016-2025 tillsynsbegäran mail.docx", "A 37016-2025")</f>
        <v/>
      </c>
    </row>
    <row r="29" ht="15" customHeight="1">
      <c r="A29" t="inlineStr">
        <is>
          <t>A 21333-2026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46147</v>
      </c>
      <c r="E29" s="1" t="n">
        <v>46314</v>
      </c>
      <c r="F29" t="inlineStr">
        <is>
          <t>KRONOBERGS LÄN</t>
        </is>
      </c>
      <c r="G29" t="inlineStr">
        <is>
          <t>VÄXJÖ</t>
        </is>
      </c>
      <c r="I29" t="n">
        <v>1.2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2</v>
      </c>
      <c r="R29" t="n">
        <v>1</v>
      </c>
      <c r="S29" t="n">
        <v>2</v>
      </c>
      <c r="T29" t="n">
        <v>2</v>
      </c>
      <c r="U29" t="n">
        <v>0</v>
      </c>
      <c r="V29" s="2" t="inlineStr">
        <is>
          <t>Slåttergubbe
Vårstarr</t>
        </is>
      </c>
      <c r="W29">
        <f>HYPERLINK("https://klasma.github.io/Logging_0780/artfynd/A 21333-2026 artfynd.xlsx", "A 21333-2026")</f>
        <v/>
      </c>
      <c r="X29">
        <f>HYPERLINK("https://klasma.github.io/Logging_0780/kartor/A 21333-2026 karta.png", "A 21333-2026")</f>
        <v/>
      </c>
      <c r="Y29">
        <f>HYPERLINK("https://klasma.github.io/Logging_0780/kartor_geotiff/A 21333-2026 georefererad karta.tif", "A 21333-2026")</f>
        <v/>
      </c>
      <c r="AA29">
        <f>HYPERLINK("https://klasma.github.io/Logging_0780/klagomål/A 21333-2026 FSC-klagomål.docx", "A 21333-2026")</f>
        <v/>
      </c>
      <c r="AB29">
        <f>HYPERLINK("https://klasma.github.io/Logging_0780/klagomålsmail/A 21333-2026 FSC-klagomål mail.docx", "A 21333-2026")</f>
        <v/>
      </c>
      <c r="AC29">
        <f>HYPERLINK("https://klasma.github.io/Logging_0780/tillsyn/A 21333-2026 tillsynsbegäran.docx", "A 21333-2026")</f>
        <v/>
      </c>
      <c r="AD29">
        <f>HYPERLINK("https://klasma.github.io/Logging_0780/tillsynsmail/A 21333-2026 tillsynsbegäran mail.docx", "A 21333-2026")</f>
        <v/>
      </c>
    </row>
    <row r="30" ht="15" customHeight="1">
      <c r="A30" t="inlineStr">
        <is>
          <t>A 23153-2026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46161</v>
      </c>
      <c r="E30" s="1" t="n">
        <v>46314</v>
      </c>
      <c r="F30" t="inlineStr">
        <is>
          <t>KRONOBERGS LÄN</t>
        </is>
      </c>
      <c r="G30" t="inlineStr">
        <is>
          <t>VÄXJÖ</t>
        </is>
      </c>
      <c r="I30" t="n">
        <v>0.5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2</v>
      </c>
      <c r="U30" t="n">
        <v>0</v>
      </c>
      <c r="V30" s="2" t="inlineStr">
        <is>
          <t>Västlig hakmossa
Tjäder</t>
        </is>
      </c>
      <c r="W30">
        <f>HYPERLINK("https://klasma.github.io/Logging_0780/artfynd/A 23153-2026 artfynd.xlsx", "A 23153-2026")</f>
        <v/>
      </c>
      <c r="X30">
        <f>HYPERLINK("https://klasma.github.io/Logging_0780/kartor/A 23153-2026 karta.png", "A 23153-2026")</f>
        <v/>
      </c>
      <c r="Y30">
        <f>HYPERLINK("https://klasma.github.io/Logging_0780/kartor_geotiff/A 23153-2026 georefererad karta.tif", "A 23153-2026")</f>
        <v/>
      </c>
      <c r="AA30">
        <f>HYPERLINK("https://klasma.github.io/Logging_0780/klagomål/A 23153-2026 FSC-klagomål.docx", "A 23153-2026")</f>
        <v/>
      </c>
      <c r="AB30">
        <f>HYPERLINK("https://klasma.github.io/Logging_0780/klagomålsmail/A 23153-2026 FSC-klagomål mail.docx", "A 23153-2026")</f>
        <v/>
      </c>
      <c r="AC30">
        <f>HYPERLINK("https://klasma.github.io/Logging_0780/tillsyn/A 23153-2026 tillsynsbegäran.docx", "A 23153-2026")</f>
        <v/>
      </c>
      <c r="AD30">
        <f>HYPERLINK("https://klasma.github.io/Logging_0780/tillsynsmail/A 23153-2026 tillsynsbegäran mail.docx", "A 23153-2026")</f>
        <v/>
      </c>
      <c r="AE30">
        <f>HYPERLINK("https://klasma.github.io/Logging_0780/fåglar/A 23153-2026 prioriterade fågelarter.docx", "A 23153-2026")</f>
        <v/>
      </c>
    </row>
    <row r="31" ht="15" customHeight="1">
      <c r="A31" t="inlineStr">
        <is>
          <t>A 44923-2023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45190</v>
      </c>
      <c r="E31" s="1" t="n">
        <v>46314</v>
      </c>
      <c r="F31" t="inlineStr">
        <is>
          <t>KRONOBERGS LÄN</t>
        </is>
      </c>
      <c r="G31" t="inlineStr">
        <is>
          <t>VÄXJÖ</t>
        </is>
      </c>
      <c r="I31" t="n">
        <v>2.3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2</v>
      </c>
      <c r="T31" t="n">
        <v>2</v>
      </c>
      <c r="U31" t="n">
        <v>1</v>
      </c>
      <c r="V31" s="2" t="inlineStr">
        <is>
          <t>Sommarfibbla
Åkerkulla</t>
        </is>
      </c>
      <c r="W31">
        <f>HYPERLINK("https://klasma.github.io/Logging_0780/artfynd/A 44923-2023 artfynd.xlsx", "A 44923-2023")</f>
        <v/>
      </c>
      <c r="X31">
        <f>HYPERLINK("https://klasma.github.io/Logging_0780/kartor/A 44923-2023 karta.png", "A 44923-2023")</f>
        <v/>
      </c>
      <c r="Y31">
        <f>HYPERLINK("https://klasma.github.io/Logging_0780/kartor_geotiff/A 44923-2023 georefererad karta.tif", "A 44923-2023")</f>
        <v/>
      </c>
      <c r="AA31">
        <f>HYPERLINK("https://klasma.github.io/Logging_0780/klagomål/A 44923-2023 FSC-klagomål.docx", "A 44923-2023")</f>
        <v/>
      </c>
      <c r="AB31">
        <f>HYPERLINK("https://klasma.github.io/Logging_0780/klagomålsmail/A 44923-2023 FSC-klagomål mail.docx", "A 44923-2023")</f>
        <v/>
      </c>
      <c r="AC31">
        <f>HYPERLINK("https://klasma.github.io/Logging_0780/tillsyn/A 44923-2023 tillsynsbegäran.docx", "A 44923-2023")</f>
        <v/>
      </c>
      <c r="AD31">
        <f>HYPERLINK("https://klasma.github.io/Logging_0780/tillsynsmail/A 44923-2023 tillsynsbegäran mail.docx", "A 44923-2023")</f>
        <v/>
      </c>
    </row>
    <row r="32" ht="15" customHeight="1">
      <c r="A32" t="inlineStr">
        <is>
          <t>A 26423-2026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46182</v>
      </c>
      <c r="E32" s="1" t="n">
        <v>46314</v>
      </c>
      <c r="F32" t="inlineStr">
        <is>
          <t>KRONOBERGS LÄN</t>
        </is>
      </c>
      <c r="G32" t="inlineStr">
        <is>
          <t>VÄXJÖ</t>
        </is>
      </c>
      <c r="H32" t="inlineStr">
        <is>
          <t>Kyrkan</t>
        </is>
      </c>
      <c r="I32" t="n">
        <v>1.9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2</v>
      </c>
      <c r="U32" t="n">
        <v>1</v>
      </c>
      <c r="V32" s="2" t="inlineStr">
        <is>
          <t>Hårklomossa
Spillkråka</t>
        </is>
      </c>
      <c r="W32">
        <f>HYPERLINK("https://klasma.github.io/Logging_0780/artfynd/A 26423-2026 artfynd.xlsx", "A 26423-2026")</f>
        <v/>
      </c>
      <c r="X32">
        <f>HYPERLINK("https://klasma.github.io/Logging_0780/kartor/A 26423-2026 karta.png", "A 26423-2026")</f>
        <v/>
      </c>
      <c r="Y32">
        <f>HYPERLINK("https://klasma.github.io/Logging_0780/kartor_geotiff/A 26423-2026 georefererad karta.tif", "A 26423-2026")</f>
        <v/>
      </c>
      <c r="AA32">
        <f>HYPERLINK("https://klasma.github.io/Logging_0780/klagomål/A 26423-2026 FSC-klagomål.docx", "A 26423-2026")</f>
        <v/>
      </c>
      <c r="AB32">
        <f>HYPERLINK("https://klasma.github.io/Logging_0780/klagomålsmail/A 26423-2026 FSC-klagomål mail.docx", "A 26423-2026")</f>
        <v/>
      </c>
      <c r="AC32">
        <f>HYPERLINK("https://klasma.github.io/Logging_0780/tillsyn/A 26423-2026 tillsynsbegäran.docx", "A 26423-2026")</f>
        <v/>
      </c>
      <c r="AD32">
        <f>HYPERLINK("https://klasma.github.io/Logging_0780/tillsynsmail/A 26423-2026 tillsynsbegäran mail.docx", "A 26423-2026")</f>
        <v/>
      </c>
      <c r="AE32">
        <f>HYPERLINK("https://klasma.github.io/Logging_0780/fåglar/A 26423-2026 prioriterade fågelarter.docx", "A 26423-2026")</f>
        <v/>
      </c>
    </row>
    <row r="33" ht="15" customHeight="1">
      <c r="A33" t="inlineStr">
        <is>
          <t>A 4684-2025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45687</v>
      </c>
      <c r="E33" s="1" t="n">
        <v>46314</v>
      </c>
      <c r="F33" t="inlineStr">
        <is>
          <t>KRONOBERGS LÄN</t>
        </is>
      </c>
      <c r="G33" t="inlineStr">
        <is>
          <t>VÄXJÖ</t>
        </is>
      </c>
      <c r="I33" t="n">
        <v>0.9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2</v>
      </c>
      <c r="U33" t="n">
        <v>0</v>
      </c>
      <c r="V33" s="2" t="inlineStr">
        <is>
          <t>Broskvaxing
Hagfingersvamp</t>
        </is>
      </c>
      <c r="W33">
        <f>HYPERLINK("https://klasma.github.io/Logging_0780/artfynd/A 4684-2025 artfynd.xlsx", "A 4684-2025")</f>
        <v/>
      </c>
      <c r="X33">
        <f>HYPERLINK("https://klasma.github.io/Logging_0780/kartor/A 4684-2025 karta.png", "A 4684-2025")</f>
        <v/>
      </c>
      <c r="Y33">
        <f>HYPERLINK("https://klasma.github.io/Logging_0780/kartor_geotiff/A 4684-2025 georefererad karta.tif", "A 4684-2025")</f>
        <v/>
      </c>
      <c r="AA33">
        <f>HYPERLINK("https://klasma.github.io/Logging_0780/klagomål/A 4684-2025 FSC-klagomål.docx", "A 4684-2025")</f>
        <v/>
      </c>
      <c r="AB33">
        <f>HYPERLINK("https://klasma.github.io/Logging_0780/klagomålsmail/A 4684-2025 FSC-klagomål mail.docx", "A 4684-2025")</f>
        <v/>
      </c>
      <c r="AC33">
        <f>HYPERLINK("https://klasma.github.io/Logging_0780/tillsyn/A 4684-2025 tillsynsbegäran.docx", "A 4684-2025")</f>
        <v/>
      </c>
      <c r="AD33">
        <f>HYPERLINK("https://klasma.github.io/Logging_0780/tillsynsmail/A 4684-2025 tillsynsbegäran mail.docx", "A 4684-2025")</f>
        <v/>
      </c>
    </row>
    <row r="34" ht="15" customHeight="1">
      <c r="A34" t="inlineStr">
        <is>
          <t>A 26684-2023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45093</v>
      </c>
      <c r="E34" s="1" t="n">
        <v>46314</v>
      </c>
      <c r="F34" t="inlineStr">
        <is>
          <t>KRONOBERGS LÄN</t>
        </is>
      </c>
      <c r="G34" t="inlineStr">
        <is>
          <t>VÄXJÖ</t>
        </is>
      </c>
      <c r="I34" t="n">
        <v>7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2</v>
      </c>
      <c r="T34" t="n">
        <v>4</v>
      </c>
      <c r="U34" t="n">
        <v>4</v>
      </c>
      <c r="V34" s="2" t="inlineStr">
        <is>
          <t>Knärot
Dropptaggsvamp</t>
        </is>
      </c>
      <c r="W34">
        <f>HYPERLINK("https://klasma.github.io/Logging_0780/artfynd/A 26684-2023 artfynd.xlsx", "A 26684-2023")</f>
        <v/>
      </c>
      <c r="X34">
        <f>HYPERLINK("https://klasma.github.io/Logging_0780/kartor/A 26684-2023 karta.png", "A 26684-2023")</f>
        <v/>
      </c>
      <c r="Y34">
        <f>HYPERLINK("https://klasma.github.io/Logging_0780/kartor_geotiff/A 26684-2023 georefererad karta.tif", "A 26684-2023")</f>
        <v/>
      </c>
      <c r="Z34">
        <f>HYPERLINK("https://klasma.github.io/Logging_0780/knärot/A 26684-2023 karta knärot.png", "A 26684-2023")</f>
        <v/>
      </c>
      <c r="AA34">
        <f>HYPERLINK("https://klasma.github.io/Logging_0780/klagomål/A 26684-2023 FSC-klagomål.docx", "A 26684-2023")</f>
        <v/>
      </c>
      <c r="AB34">
        <f>HYPERLINK("https://klasma.github.io/Logging_0780/klagomålsmail/A 26684-2023 FSC-klagomål mail.docx", "A 26684-2023")</f>
        <v/>
      </c>
      <c r="AC34">
        <f>HYPERLINK("https://klasma.github.io/Logging_0780/tillsyn/A 26684-2023 tillsynsbegäran.docx", "A 26684-2023")</f>
        <v/>
      </c>
      <c r="AD34">
        <f>HYPERLINK("https://klasma.github.io/Logging_0780/tillsynsmail/A 26684-2023 tillsynsbegäran mail.docx", "A 26684-2023")</f>
        <v/>
      </c>
    </row>
    <row r="35" ht="15" customHeight="1">
      <c r="A35" t="inlineStr">
        <is>
          <t>A 47486-2024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45587</v>
      </c>
      <c r="E35" s="1" t="n">
        <v>46314</v>
      </c>
      <c r="F35" t="inlineStr">
        <is>
          <t>KRONOBERGS LÄN</t>
        </is>
      </c>
      <c r="G35" t="inlineStr">
        <is>
          <t>VÄXJÖ</t>
        </is>
      </c>
      <c r="I35" t="n">
        <v>6</v>
      </c>
      <c r="J35" t="n">
        <v>2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2</v>
      </c>
      <c r="T35" t="n">
        <v>2</v>
      </c>
      <c r="U35" t="n">
        <v>1</v>
      </c>
      <c r="V35" s="2" t="inlineStr">
        <is>
          <t>Pärluggla
Nattskärra</t>
        </is>
      </c>
      <c r="W35">
        <f>HYPERLINK("https://klasma.github.io/Logging_0780/artfynd/A 47486-2024 artfynd.xlsx", "A 47486-2024")</f>
        <v/>
      </c>
      <c r="X35">
        <f>HYPERLINK("https://klasma.github.io/Logging_0780/kartor/A 47486-2024 karta.png", "A 47486-2024")</f>
        <v/>
      </c>
      <c r="Y35">
        <f>HYPERLINK("https://klasma.github.io/Logging_0780/kartor_geotiff/A 47486-2024 georefererad karta.tif", "A 47486-2024")</f>
        <v/>
      </c>
      <c r="AA35">
        <f>HYPERLINK("https://klasma.github.io/Logging_0780/klagomål/A 47486-2024 FSC-klagomål.docx", "A 47486-2024")</f>
        <v/>
      </c>
      <c r="AB35">
        <f>HYPERLINK("https://klasma.github.io/Logging_0780/klagomålsmail/A 47486-2024 FSC-klagomål mail.docx", "A 47486-2024")</f>
        <v/>
      </c>
      <c r="AC35">
        <f>HYPERLINK("https://klasma.github.io/Logging_0780/tillsyn/A 47486-2024 tillsynsbegäran.docx", "A 47486-2024")</f>
        <v/>
      </c>
      <c r="AD35">
        <f>HYPERLINK("https://klasma.github.io/Logging_0780/tillsynsmail/A 47486-2024 tillsynsbegäran mail.docx", "A 47486-2024")</f>
        <v/>
      </c>
      <c r="AE35">
        <f>HYPERLINK("https://klasma.github.io/Logging_0780/fåglar/A 47486-2024 prioriterade fågelarter.docx", "A 47486-2024")</f>
        <v/>
      </c>
    </row>
    <row r="36" ht="15" customHeight="1">
      <c r="A36" t="inlineStr">
        <is>
          <t>A 22521-2024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45447</v>
      </c>
      <c r="E36" s="1" t="n">
        <v>46314</v>
      </c>
      <c r="F36" t="inlineStr">
        <is>
          <t>KRONOBERGS LÄN</t>
        </is>
      </c>
      <c r="G36" t="inlineStr">
        <is>
          <t>VÄXJÖ</t>
        </is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2</v>
      </c>
      <c r="U36" t="n">
        <v>2</v>
      </c>
      <c r="V36" s="2" t="inlineStr">
        <is>
          <t>Svinrot
Grönvit nattviol</t>
        </is>
      </c>
      <c r="W36">
        <f>HYPERLINK("https://klasma.github.io/Logging_0780/artfynd/A 22521-2024 artfynd.xlsx", "A 22521-2024")</f>
        <v/>
      </c>
      <c r="X36">
        <f>HYPERLINK("https://klasma.github.io/Logging_0780/kartor/A 22521-2024 karta.png", "A 22521-2024")</f>
        <v/>
      </c>
      <c r="Y36">
        <f>HYPERLINK("https://klasma.github.io/Logging_0780/kartor_geotiff/A 22521-2024 georefererad karta.tif", "A 22521-2024")</f>
        <v/>
      </c>
      <c r="AA36">
        <f>HYPERLINK("https://klasma.github.io/Logging_0780/klagomål/A 22521-2024 FSC-klagomål.docx", "A 22521-2024")</f>
        <v/>
      </c>
      <c r="AB36">
        <f>HYPERLINK("https://klasma.github.io/Logging_0780/klagomålsmail/A 22521-2024 FSC-klagomål mail.docx", "A 22521-2024")</f>
        <v/>
      </c>
      <c r="AC36">
        <f>HYPERLINK("https://klasma.github.io/Logging_0780/tillsyn/A 22521-2024 tillsynsbegäran.docx", "A 22521-2024")</f>
        <v/>
      </c>
      <c r="AD36">
        <f>HYPERLINK("https://klasma.github.io/Logging_0780/tillsynsmail/A 22521-2024 tillsynsbegäran mail.docx", "A 22521-2024")</f>
        <v/>
      </c>
    </row>
    <row r="37" ht="15" customHeight="1">
      <c r="A37" t="inlineStr">
        <is>
          <t>A 61844-2024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45649</v>
      </c>
      <c r="E37" s="1" t="n">
        <v>46314</v>
      </c>
      <c r="F37" t="inlineStr">
        <is>
          <t>KRONOBERGS LÄN</t>
        </is>
      </c>
      <c r="G37" t="inlineStr">
        <is>
          <t>VÄXJÖ</t>
        </is>
      </c>
      <c r="I37" t="n">
        <v>1.5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2</v>
      </c>
      <c r="U37" t="n">
        <v>0</v>
      </c>
      <c r="V37" s="2" t="inlineStr">
        <is>
          <t>Lunglav
Bårdlav</t>
        </is>
      </c>
      <c r="W37">
        <f>HYPERLINK("https://klasma.github.io/Logging_0780/artfynd/A 61844-2024 artfynd.xlsx", "A 61844-2024")</f>
        <v/>
      </c>
      <c r="X37">
        <f>HYPERLINK("https://klasma.github.io/Logging_0780/kartor/A 61844-2024 karta.png", "A 61844-2024")</f>
        <v/>
      </c>
      <c r="Y37">
        <f>HYPERLINK("https://klasma.github.io/Logging_0780/kartor_geotiff/A 61844-2024 georefererad karta.tif", "A 61844-2024")</f>
        <v/>
      </c>
      <c r="AA37">
        <f>HYPERLINK("https://klasma.github.io/Logging_0780/klagomål/A 61844-2024 FSC-klagomål.docx", "A 61844-2024")</f>
        <v/>
      </c>
      <c r="AB37">
        <f>HYPERLINK("https://klasma.github.io/Logging_0780/klagomålsmail/A 61844-2024 FSC-klagomål mail.docx", "A 61844-2024")</f>
        <v/>
      </c>
      <c r="AC37">
        <f>HYPERLINK("https://klasma.github.io/Logging_0780/tillsyn/A 61844-2024 tillsynsbegäran.docx", "A 61844-2024")</f>
        <v/>
      </c>
      <c r="AD37">
        <f>HYPERLINK("https://klasma.github.io/Logging_0780/tillsynsmail/A 61844-2024 tillsynsbegäran mail.docx", "A 61844-2024")</f>
        <v/>
      </c>
    </row>
    <row r="38" ht="15" customHeight="1">
      <c r="A38" t="inlineStr">
        <is>
          <t>A 40739-2026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46296</v>
      </c>
      <c r="E38" s="1" t="n">
        <v>46314</v>
      </c>
      <c r="F38" t="inlineStr">
        <is>
          <t>KRONOBERGS LÄN</t>
        </is>
      </c>
      <c r="G38" t="inlineStr">
        <is>
          <t>VÄXJÖ</t>
        </is>
      </c>
      <c r="I38" t="n">
        <v>7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2</v>
      </c>
      <c r="T38" t="n">
        <v>2</v>
      </c>
      <c r="U38" t="n">
        <v>0</v>
      </c>
      <c r="V38" s="2" t="inlineStr">
        <is>
          <t>Borsttåg
Spindelört</t>
        </is>
      </c>
      <c r="W38">
        <f>HYPERLINK("https://klasma.github.io/Logging_0780/artfynd/A 40739-2026 artfynd.xlsx", "A 40739-2026")</f>
        <v/>
      </c>
      <c r="X38">
        <f>HYPERLINK("https://klasma.github.io/Logging_0780/kartor/A 40739-2026 karta.png", "A 40739-2026")</f>
        <v/>
      </c>
      <c r="Y38">
        <f>HYPERLINK("https://klasma.github.io/Logging_0780/kartor_geotiff/A 40739-2026 georefererad karta.tif", "A 40739-2026")</f>
        <v/>
      </c>
      <c r="AA38">
        <f>HYPERLINK("https://klasma.github.io/Logging_0780/klagomål/A 40739-2026 FSC-klagomål.docx", "A 40739-2026")</f>
        <v/>
      </c>
      <c r="AB38">
        <f>HYPERLINK("https://klasma.github.io/Logging_0780/klagomålsmail/A 40739-2026 FSC-klagomål mail.docx", "A 40739-2026")</f>
        <v/>
      </c>
      <c r="AC38">
        <f>HYPERLINK("https://klasma.github.io/Logging_0780/tillsyn/A 40739-2026 tillsynsbegäran.docx", "A 40739-2026")</f>
        <v/>
      </c>
      <c r="AD38">
        <f>HYPERLINK("https://klasma.github.io/Logging_0780/tillsynsmail/A 40739-2026 tillsynsbegäran mail.docx", "A 40739-2026")</f>
        <v/>
      </c>
    </row>
    <row r="39" ht="15" customHeight="1">
      <c r="A39" t="inlineStr">
        <is>
          <t>A 38339-2024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45545</v>
      </c>
      <c r="E39" s="1" t="n">
        <v>46314</v>
      </c>
      <c r="F39" t="inlineStr">
        <is>
          <t>KRONOBERGS LÄN</t>
        </is>
      </c>
      <c r="G39" t="inlineStr">
        <is>
          <t>VÄXJÖ</t>
        </is>
      </c>
      <c r="I39" t="n">
        <v>4.9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2</v>
      </c>
      <c r="U39" t="n">
        <v>0</v>
      </c>
      <c r="V39" s="2" t="inlineStr">
        <is>
          <t>Tallriska
Blomkålssvamp</t>
        </is>
      </c>
      <c r="W39">
        <f>HYPERLINK("https://klasma.github.io/Logging_0780/artfynd/A 38339-2024 artfynd.xlsx", "A 38339-2024")</f>
        <v/>
      </c>
      <c r="X39">
        <f>HYPERLINK("https://klasma.github.io/Logging_0780/kartor/A 38339-2024 karta.png", "A 38339-2024")</f>
        <v/>
      </c>
      <c r="Y39">
        <f>HYPERLINK("https://klasma.github.io/Logging_0780/kartor_geotiff/A 38339-2024 georefererad karta.tif", "A 38339-2024")</f>
        <v/>
      </c>
      <c r="AA39">
        <f>HYPERLINK("https://klasma.github.io/Logging_0780/klagomål/A 38339-2024 FSC-klagomål.docx", "A 38339-2024")</f>
        <v/>
      </c>
      <c r="AB39">
        <f>HYPERLINK("https://klasma.github.io/Logging_0780/klagomålsmail/A 38339-2024 FSC-klagomål mail.docx", "A 38339-2024")</f>
        <v/>
      </c>
      <c r="AC39">
        <f>HYPERLINK("https://klasma.github.io/Logging_0780/tillsyn/A 38339-2024 tillsynsbegäran.docx", "A 38339-2024")</f>
        <v/>
      </c>
      <c r="AD39">
        <f>HYPERLINK("https://klasma.github.io/Logging_0780/tillsynsmail/A 38339-2024 tillsynsbegäran mail.docx", "A 38339-2024")</f>
        <v/>
      </c>
    </row>
    <row r="40" ht="15" customHeight="1">
      <c r="A40" t="inlineStr">
        <is>
          <t>A 28801-2025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45820</v>
      </c>
      <c r="E40" s="1" t="n">
        <v>46314</v>
      </c>
      <c r="F40" t="inlineStr">
        <is>
          <t>KRONOBERGS LÄN</t>
        </is>
      </c>
      <c r="G40" t="inlineStr">
        <is>
          <t>VÄXJÖ</t>
        </is>
      </c>
      <c r="I40" t="n">
        <v>4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2</v>
      </c>
      <c r="U40" t="n">
        <v>2</v>
      </c>
      <c r="V40" s="2" t="inlineStr">
        <is>
          <t>Tofsmes
Orre</t>
        </is>
      </c>
      <c r="W40">
        <f>HYPERLINK("https://klasma.github.io/Logging_0780/artfynd/A 28801-2025 artfynd.xlsx", "A 28801-2025")</f>
        <v/>
      </c>
      <c r="X40">
        <f>HYPERLINK("https://klasma.github.io/Logging_0780/kartor/A 28801-2025 karta.png", "A 28801-2025")</f>
        <v/>
      </c>
      <c r="Y40">
        <f>HYPERLINK("https://klasma.github.io/Logging_0780/kartor_geotiff/A 28801-2025 georefererad karta.tif", "A 28801-2025")</f>
        <v/>
      </c>
      <c r="AA40">
        <f>HYPERLINK("https://klasma.github.io/Logging_0780/klagomål/A 28801-2025 FSC-klagomål.docx", "A 28801-2025")</f>
        <v/>
      </c>
      <c r="AB40">
        <f>HYPERLINK("https://klasma.github.io/Logging_0780/klagomålsmail/A 28801-2025 FSC-klagomål mail.docx", "A 28801-2025")</f>
        <v/>
      </c>
      <c r="AC40">
        <f>HYPERLINK("https://klasma.github.io/Logging_0780/tillsyn/A 28801-2025 tillsynsbegäran.docx", "A 28801-2025")</f>
        <v/>
      </c>
      <c r="AD40">
        <f>HYPERLINK("https://klasma.github.io/Logging_0780/tillsynsmail/A 28801-2025 tillsynsbegäran mail.docx", "A 28801-2025")</f>
        <v/>
      </c>
      <c r="AE40">
        <f>HYPERLINK("https://klasma.github.io/Logging_0780/fåglar/A 28801-2025 prioriterade fågelarter.docx", "A 28801-2025")</f>
        <v/>
      </c>
    </row>
    <row r="41" ht="15" customHeight="1">
      <c r="A41" t="inlineStr">
        <is>
          <t>A 40266-2024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45554</v>
      </c>
      <c r="E41" s="1" t="n">
        <v>46314</v>
      </c>
      <c r="F41" t="inlineStr">
        <is>
          <t>KRONOBERGS LÄN</t>
        </is>
      </c>
      <c r="G41" t="inlineStr">
        <is>
          <t>VÄXJÖ</t>
        </is>
      </c>
      <c r="I41" t="n">
        <v>0.5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2</v>
      </c>
      <c r="T41" t="n">
        <v>2</v>
      </c>
      <c r="U41" t="n">
        <v>0</v>
      </c>
      <c r="V41" s="2" t="inlineStr">
        <is>
          <t>Mindre bastardsvärmare
Vitfläckig guldvinge</t>
        </is>
      </c>
      <c r="W41">
        <f>HYPERLINK("https://klasma.github.io/Logging_0780/artfynd/A 40266-2024 artfynd.xlsx", "A 40266-2024")</f>
        <v/>
      </c>
      <c r="X41">
        <f>HYPERLINK("https://klasma.github.io/Logging_0780/kartor/A 40266-2024 karta.png", "A 40266-2024")</f>
        <v/>
      </c>
      <c r="Y41">
        <f>HYPERLINK("https://klasma.github.io/Logging_0780/kartor_geotiff/A 40266-2024 georefererad karta.tif", "A 40266-2024")</f>
        <v/>
      </c>
      <c r="AA41">
        <f>HYPERLINK("https://klasma.github.io/Logging_0780/klagomål/A 40266-2024 FSC-klagomål.docx", "A 40266-2024")</f>
        <v/>
      </c>
      <c r="AB41">
        <f>HYPERLINK("https://klasma.github.io/Logging_0780/klagomålsmail/A 40266-2024 FSC-klagomål mail.docx", "A 40266-2024")</f>
        <v/>
      </c>
      <c r="AC41">
        <f>HYPERLINK("https://klasma.github.io/Logging_0780/tillsyn/A 40266-2024 tillsynsbegäran.docx", "A 40266-2024")</f>
        <v/>
      </c>
      <c r="AD41">
        <f>HYPERLINK("https://klasma.github.io/Logging_0780/tillsynsmail/A 40266-2024 tillsynsbegäran mail.docx", "A 40266-2024")</f>
        <v/>
      </c>
    </row>
    <row r="42" ht="15" customHeight="1">
      <c r="A42" t="inlineStr">
        <is>
          <t>A 38396-2025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45883</v>
      </c>
      <c r="E42" s="1" t="n">
        <v>46314</v>
      </c>
      <c r="F42" t="inlineStr">
        <is>
          <t>KRONOBERGS LÄN</t>
        </is>
      </c>
      <c r="G42" t="inlineStr">
        <is>
          <t>VÄXJÖ</t>
        </is>
      </c>
      <c r="I42" t="n">
        <v>0.5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2</v>
      </c>
      <c r="T42" t="n">
        <v>2</v>
      </c>
      <c r="U42" t="n">
        <v>0</v>
      </c>
      <c r="V42" s="2" t="inlineStr">
        <is>
          <t>Dynstinksvamp
Smal svampklubba</t>
        </is>
      </c>
      <c r="W42">
        <f>HYPERLINK("https://klasma.github.io/Logging_0780/artfynd/A 38396-2025 artfynd.xlsx", "A 38396-2025")</f>
        <v/>
      </c>
      <c r="X42">
        <f>HYPERLINK("https://klasma.github.io/Logging_0780/kartor/A 38396-2025 karta.png", "A 38396-2025")</f>
        <v/>
      </c>
      <c r="Y42">
        <f>HYPERLINK("https://klasma.github.io/Logging_0780/kartor_geotiff/A 38396-2025 georefererad karta.tif", "A 38396-2025")</f>
        <v/>
      </c>
      <c r="AA42">
        <f>HYPERLINK("https://klasma.github.io/Logging_0780/klagomål/A 38396-2025 FSC-klagomål.docx", "A 38396-2025")</f>
        <v/>
      </c>
      <c r="AB42">
        <f>HYPERLINK("https://klasma.github.io/Logging_0780/klagomålsmail/A 38396-2025 FSC-klagomål mail.docx", "A 38396-2025")</f>
        <v/>
      </c>
      <c r="AC42">
        <f>HYPERLINK("https://klasma.github.io/Logging_0780/tillsyn/A 38396-2025 tillsynsbegäran.docx", "A 38396-2025")</f>
        <v/>
      </c>
      <c r="AD42">
        <f>HYPERLINK("https://klasma.github.io/Logging_0780/tillsynsmail/A 38396-2025 tillsynsbegäran mail.docx", "A 38396-2025")</f>
        <v/>
      </c>
    </row>
    <row r="43" ht="15" customHeight="1">
      <c r="A43" t="inlineStr">
        <is>
          <t>S 2721-2022</t>
        </is>
      </c>
      <c r="B43" t="inlineStr">
        <is>
          <t>samrådsanmälan</t>
        </is>
      </c>
      <c r="C43" t="inlineStr">
        <is>
          <t>Askåterföring</t>
        </is>
      </c>
      <c r="D43" s="1" t="n">
        <v>44704</v>
      </c>
      <c r="E43" s="1" t="n">
        <v>46314</v>
      </c>
      <c r="F43" t="inlineStr">
        <is>
          <t>KRONOBERGS LÄN</t>
        </is>
      </c>
      <c r="G43" t="inlineStr">
        <is>
          <t>VÄXJÖ</t>
        </is>
      </c>
      <c r="I43" t="n">
        <v>62.4</v>
      </c>
      <c r="J43" t="n">
        <v>1</v>
      </c>
      <c r="K43" t="n">
        <v>0</v>
      </c>
      <c r="L43" t="n">
        <v>0</v>
      </c>
      <c r="M43" t="n">
        <v>0</v>
      </c>
      <c r="N43" t="n">
        <v>2</v>
      </c>
      <c r="O43" t="n">
        <v>0</v>
      </c>
      <c r="P43" t="n">
        <v>0</v>
      </c>
      <c r="Q43" t="n">
        <v>2</v>
      </c>
      <c r="R43" t="n">
        <v>2</v>
      </c>
      <c r="S43" t="n">
        <v>2</v>
      </c>
      <c r="T43" t="n">
        <v>3</v>
      </c>
      <c r="U43" t="n">
        <v>3</v>
      </c>
      <c r="V43" s="2" t="inlineStr">
        <is>
          <t>Dvärgjohannesört
Ljungögontröst</t>
        </is>
      </c>
      <c r="W43">
        <f>HYPERLINK("https://klasma.github.io/Logging_0780/artfynd/S 2721-2022 artfynd.xlsx", "S 2721-2022")</f>
        <v/>
      </c>
      <c r="X43">
        <f>HYPERLINK("https://klasma.github.io/Logging_0780/kartor/S 2721-2022 karta.png", "S 2721-2022")</f>
        <v/>
      </c>
      <c r="Y43">
        <f>HYPERLINK("https://klasma.github.io/Logging_0780/kartor_geotiff/S 2721-2022 georefererad karta.tif", "S 2721-2022")</f>
        <v/>
      </c>
      <c r="AA43">
        <f>HYPERLINK("https://klasma.github.io/Logging_0780/klagomål/S 2721-2022 FSC-klagomål.docx", "S 2721-2022")</f>
        <v/>
      </c>
      <c r="AB43">
        <f>HYPERLINK("https://klasma.github.io/Logging_0780/klagomålsmail/S 2721-2022 FSC-klagomål mail.docx", "S 2721-2022")</f>
        <v/>
      </c>
      <c r="AC43">
        <f>HYPERLINK("https://klasma.github.io/Logging_0780/tillsyn/S 2721-2022 tillsynsbegäran.docx", "S 2721-2022")</f>
        <v/>
      </c>
      <c r="AD43">
        <f>HYPERLINK("https://klasma.github.io/Logging_0780/tillsynsmail/S 2721-2022 tillsynsbegäran mail.docx", "S 2721-2022")</f>
        <v/>
      </c>
    </row>
    <row r="44" ht="15" customHeight="1">
      <c r="A44" t="inlineStr">
        <is>
          <t>S 2244-2024</t>
        </is>
      </c>
      <c r="B44" t="inlineStr">
        <is>
          <t>samrådsanmälan</t>
        </is>
      </c>
      <c r="C44" t="inlineStr">
        <is>
          <t>Annan skogsbruksåtgärd</t>
        </is>
      </c>
      <c r="D44" s="1" t="n">
        <v>45460</v>
      </c>
      <c r="E44" s="1" t="n">
        <v>46314</v>
      </c>
      <c r="F44" t="inlineStr">
        <is>
          <t>KRONOBERGS LÄN</t>
        </is>
      </c>
      <c r="G44" t="inlineStr">
        <is>
          <t>VÄXJÖ</t>
        </is>
      </c>
      <c r="I44" t="n">
        <v>1.7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2</v>
      </c>
      <c r="U44" t="n">
        <v>0</v>
      </c>
      <c r="V44" s="2" t="inlineStr">
        <is>
          <t>Fällmossa
Sotlav</t>
        </is>
      </c>
      <c r="W44">
        <f>HYPERLINK("https://klasma.github.io/Logging_0780/artfynd/S 2244-2024 artfynd.xlsx", "S 2244-2024")</f>
        <v/>
      </c>
      <c r="X44">
        <f>HYPERLINK("https://klasma.github.io/Logging_0780/kartor/S 2244-2024 karta.png", "S 2244-2024")</f>
        <v/>
      </c>
      <c r="Y44">
        <f>HYPERLINK("https://klasma.github.io/Logging_0780/kartor_geotiff/S 2244-2024 georefererad karta.tif", "S 2244-2024")</f>
        <v/>
      </c>
      <c r="AA44">
        <f>HYPERLINK("https://klasma.github.io/Logging_0780/klagomål/S 2244-2024 FSC-klagomål.docx", "S 2244-2024")</f>
        <v/>
      </c>
      <c r="AB44">
        <f>HYPERLINK("https://klasma.github.io/Logging_0780/klagomålsmail/S 2244-2024 FSC-klagomål mail.docx", "S 2244-2024")</f>
        <v/>
      </c>
      <c r="AC44">
        <f>HYPERLINK("https://klasma.github.io/Logging_0780/tillsyn/S 2244-2024 tillsynsbegäran.docx", "S 2244-2024")</f>
        <v/>
      </c>
      <c r="AD44">
        <f>HYPERLINK("https://klasma.github.io/Logging_0780/tillsynsmail/S 2244-2024 tillsynsbegäran mail.docx", "S 2244-2024")</f>
        <v/>
      </c>
    </row>
    <row r="45" ht="15" customHeight="1">
      <c r="A45" t="inlineStr">
        <is>
          <t>S 2717-2022</t>
        </is>
      </c>
      <c r="B45" t="inlineStr">
        <is>
          <t>samrådsanmälan</t>
        </is>
      </c>
      <c r="C45" t="inlineStr">
        <is>
          <t>Askåterföring</t>
        </is>
      </c>
      <c r="D45" s="1" t="n">
        <v>44704</v>
      </c>
      <c r="E45" s="1" t="n">
        <v>46314</v>
      </c>
      <c r="F45" t="inlineStr">
        <is>
          <t>KRONOBERGS LÄN</t>
        </is>
      </c>
      <c r="G45" t="inlineStr">
        <is>
          <t>VÄXJÖ</t>
        </is>
      </c>
      <c r="I45" t="n">
        <v>7.4</v>
      </c>
      <c r="J45" t="n">
        <v>2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2</v>
      </c>
      <c r="T45" t="n">
        <v>2</v>
      </c>
      <c r="U45" t="n">
        <v>2</v>
      </c>
      <c r="V45" s="2" t="inlineStr">
        <is>
          <t>Sparvuggla
Havsörn</t>
        </is>
      </c>
      <c r="W45">
        <f>HYPERLINK("https://klasma.github.io/Logging_0780/artfynd/S 2717-2022 artfynd.xlsx", "S 2717-2022")</f>
        <v/>
      </c>
      <c r="X45">
        <f>HYPERLINK("https://klasma.github.io/Logging_0780/kartor/S 2717-2022 karta.png", "S 2717-2022")</f>
        <v/>
      </c>
      <c r="Y45">
        <f>HYPERLINK("https://klasma.github.io/Logging_0780/kartor_geotiff/S 2717-2022 georefererad karta.tif", "S 2717-2022")</f>
        <v/>
      </c>
      <c r="AA45">
        <f>HYPERLINK("https://klasma.github.io/Logging_0780/klagomål/S 2717-2022 FSC-klagomål.docx", "S 2717-2022")</f>
        <v/>
      </c>
      <c r="AB45">
        <f>HYPERLINK("https://klasma.github.io/Logging_0780/klagomålsmail/S 2717-2022 FSC-klagomål mail.docx", "S 2717-2022")</f>
        <v/>
      </c>
      <c r="AC45">
        <f>HYPERLINK("https://klasma.github.io/Logging_0780/tillsyn/S 2717-2022 tillsynsbegäran.docx", "S 2717-2022")</f>
        <v/>
      </c>
      <c r="AD45">
        <f>HYPERLINK("https://klasma.github.io/Logging_0780/tillsynsmail/S 2717-2022 tillsynsbegäran mail.docx", "S 2717-2022")</f>
        <v/>
      </c>
      <c r="AE45">
        <f>HYPERLINK("https://klasma.github.io/Logging_0780/fåglar/S 2717-2022 prioriterade fågelarter.docx", "S 2717-2022")</f>
        <v/>
      </c>
    </row>
    <row r="46" ht="15" customHeight="1">
      <c r="A46" t="inlineStr">
        <is>
          <t>S 522-2024</t>
        </is>
      </c>
      <c r="B46" t="inlineStr">
        <is>
          <t>samrådsanmälan</t>
        </is>
      </c>
      <c r="C46" t="inlineStr">
        <is>
          <t>Stubbskörd</t>
        </is>
      </c>
      <c r="D46" s="1" t="n">
        <v>45348</v>
      </c>
      <c r="E46" s="1" t="n">
        <v>46314</v>
      </c>
      <c r="F46" t="inlineStr">
        <is>
          <t>KRONOBERGS LÄN</t>
        </is>
      </c>
      <c r="G46" t="inlineStr">
        <is>
          <t>VÄXJÖ</t>
        </is>
      </c>
      <c r="I46" t="n">
        <v>0.3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2</v>
      </c>
      <c r="T46" t="n">
        <v>2</v>
      </c>
      <c r="U46" t="n">
        <v>0</v>
      </c>
      <c r="V46" s="2" t="inlineStr">
        <is>
          <t>Spinnfingersvamp
Mandelriska</t>
        </is>
      </c>
      <c r="W46">
        <f>HYPERLINK("https://klasma.github.io/Logging_0780/artfynd/S 522-2024 artfynd.xlsx", "S 522-2024")</f>
        <v/>
      </c>
      <c r="X46">
        <f>HYPERLINK("https://klasma.github.io/Logging_0780/kartor/S 522-2024 karta.png", "S 522-2024")</f>
        <v/>
      </c>
      <c r="Y46">
        <f>HYPERLINK("https://klasma.github.io/Logging_0780/kartor_geotiff/S 522-2024 georefererad karta.tif", "S 522-2024")</f>
        <v/>
      </c>
      <c r="AA46">
        <f>HYPERLINK("https://klasma.github.io/Logging_0780/klagomål/S 522-2024 FSC-klagomål.docx", "S 522-2024")</f>
        <v/>
      </c>
      <c r="AB46">
        <f>HYPERLINK("https://klasma.github.io/Logging_0780/klagomålsmail/S 522-2024 FSC-klagomål mail.docx", "S 522-2024")</f>
        <v/>
      </c>
      <c r="AC46">
        <f>HYPERLINK("https://klasma.github.io/Logging_0780/tillsyn/S 522-2024 tillsynsbegäran.docx", "S 522-2024")</f>
        <v/>
      </c>
      <c r="AD46">
        <f>HYPERLINK("https://klasma.github.io/Logging_0780/tillsynsmail/S 522-2024 tillsynsbegäran mail.docx", "S 522-2024")</f>
        <v/>
      </c>
    </row>
    <row r="47" ht="15" customHeight="1">
      <c r="A47" t="inlineStr">
        <is>
          <t>S 592-2024</t>
        </is>
      </c>
      <c r="B47" t="inlineStr">
        <is>
          <t>samrådsanmälan</t>
        </is>
      </c>
      <c r="C47" t="inlineStr">
        <is>
          <t>Stubbskörd</t>
        </is>
      </c>
      <c r="D47" s="1" t="n">
        <v>45351</v>
      </c>
      <c r="E47" s="1" t="n">
        <v>46314</v>
      </c>
      <c r="F47" t="inlineStr">
        <is>
          <t>KRONOBERGS LÄN</t>
        </is>
      </c>
      <c r="G47" t="inlineStr">
        <is>
          <t>VÄXJÖ</t>
        </is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2</v>
      </c>
      <c r="T47" t="n">
        <v>2</v>
      </c>
      <c r="U47" t="n">
        <v>0</v>
      </c>
      <c r="V47" s="2" t="inlineStr">
        <is>
          <t>Svartvit taggsvamp
Lömsk flugsvamp</t>
        </is>
      </c>
      <c r="W47">
        <f>HYPERLINK("https://klasma.github.io/Logging_0780/artfynd/S 592-2024 artfynd.xlsx", "S 592-2024")</f>
        <v/>
      </c>
      <c r="X47">
        <f>HYPERLINK("https://klasma.github.io/Logging_0780/kartor/S 592-2024 karta.png", "S 592-2024")</f>
        <v/>
      </c>
      <c r="Y47">
        <f>HYPERLINK("https://klasma.github.io/Logging_0780/kartor_geotiff/S 592-2024 georefererad karta.tif", "S 592-2024")</f>
        <v/>
      </c>
      <c r="AA47">
        <f>HYPERLINK("https://klasma.github.io/Logging_0780/klagomål/S 592-2024 FSC-klagomål.docx", "S 592-2024")</f>
        <v/>
      </c>
      <c r="AB47">
        <f>HYPERLINK("https://klasma.github.io/Logging_0780/klagomålsmail/S 592-2024 FSC-klagomål mail.docx", "S 592-2024")</f>
        <v/>
      </c>
      <c r="AC47">
        <f>HYPERLINK("https://klasma.github.io/Logging_0780/tillsyn/S 592-2024 tillsynsbegäran.docx", "S 592-2024")</f>
        <v/>
      </c>
      <c r="AD47">
        <f>HYPERLINK("https://klasma.github.io/Logging_0780/tillsynsmail/S 592-2024 tillsynsbegäran mail.docx", "S 592-2024")</f>
        <v/>
      </c>
    </row>
    <row r="48" ht="15" customHeight="1">
      <c r="A48" t="inlineStr">
        <is>
          <t>S 151-2025</t>
        </is>
      </c>
      <c r="B48" t="inlineStr">
        <is>
          <t>samrådsanmälan</t>
        </is>
      </c>
      <c r="C48" t="inlineStr">
        <is>
          <t>Askåterföring</t>
        </is>
      </c>
      <c r="D48" s="1" t="n">
        <v>45674</v>
      </c>
      <c r="E48" s="1" t="n">
        <v>46314</v>
      </c>
      <c r="F48" t="inlineStr">
        <is>
          <t>KRONOBERGS LÄN</t>
        </is>
      </c>
      <c r="G48" t="inlineStr">
        <is>
          <t>VÄXJÖ</t>
        </is>
      </c>
      <c r="H48" t="inlineStr">
        <is>
          <t>Sveaskog</t>
        </is>
      </c>
      <c r="I48" t="n">
        <v>15.3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2</v>
      </c>
      <c r="U48" t="n">
        <v>0</v>
      </c>
      <c r="V48" s="2" t="inlineStr">
        <is>
          <t>Kungsfågel
Vanlig snok</t>
        </is>
      </c>
      <c r="W48">
        <f>HYPERLINK("https://klasma.github.io/Logging_0780/artfynd/S 151-2025 artfynd.xlsx", "S 151-2025")</f>
        <v/>
      </c>
      <c r="X48">
        <f>HYPERLINK("https://klasma.github.io/Logging_0780/kartor/S 151-2025 karta.png", "S 151-2025")</f>
        <v/>
      </c>
      <c r="Y48">
        <f>HYPERLINK("https://klasma.github.io/Logging_0780/kartor_geotiff/S 151-2025 georefererad karta.tif", "S 151-2025")</f>
        <v/>
      </c>
      <c r="AA48">
        <f>HYPERLINK("https://klasma.github.io/Logging_0780/klagomål/S 151-2025 FSC-klagomål.docx", "S 151-2025")</f>
        <v/>
      </c>
      <c r="AB48">
        <f>HYPERLINK("https://klasma.github.io/Logging_0780/klagomålsmail/S 151-2025 FSC-klagomål mail.docx", "S 151-2025")</f>
        <v/>
      </c>
      <c r="AC48">
        <f>HYPERLINK("https://klasma.github.io/Logging_0780/tillsyn/S 151-2025 tillsynsbegäran.docx", "S 151-2025")</f>
        <v/>
      </c>
      <c r="AD48">
        <f>HYPERLINK("https://klasma.github.io/Logging_0780/tillsynsmail/S 151-2025 tillsynsbegäran mail.docx", "S 151-2025")</f>
        <v/>
      </c>
    </row>
    <row r="49" ht="15" customHeight="1">
      <c r="A49" t="inlineStr">
        <is>
          <t>S 810-2026</t>
        </is>
      </c>
      <c r="B49" t="inlineStr">
        <is>
          <t>samrådsanmälan</t>
        </is>
      </c>
      <c r="C49" t="inlineStr">
        <is>
          <t>Skogsgödsling</t>
        </is>
      </c>
      <c r="D49" s="1" t="n">
        <v>46100</v>
      </c>
      <c r="E49" s="1" t="n">
        <v>46314</v>
      </c>
      <c r="F49" t="inlineStr">
        <is>
          <t>KRONOBERGS LÄN</t>
        </is>
      </c>
      <c r="G49" t="inlineStr">
        <is>
          <t>VÄXJÖ</t>
        </is>
      </c>
      <c r="I49" t="n">
        <v>37.6</v>
      </c>
      <c r="J49" t="n">
        <v>2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2</v>
      </c>
      <c r="T49" t="n">
        <v>2</v>
      </c>
      <c r="U49" t="n">
        <v>0</v>
      </c>
      <c r="V49" s="2" t="inlineStr">
        <is>
          <t>Nordfladdermus
Vattenfladdermus</t>
        </is>
      </c>
      <c r="W49">
        <f>HYPERLINK("https://klasma.github.io/Logging_0780/artfynd/S 810-2026 artfynd.xlsx", "S 810-2026")</f>
        <v/>
      </c>
      <c r="X49">
        <f>HYPERLINK("https://klasma.github.io/Logging_0780/kartor/S 810-2026 karta.png", "S 810-2026")</f>
        <v/>
      </c>
      <c r="Y49">
        <f>HYPERLINK("https://klasma.github.io/Logging_0780/kartor_geotiff/S 810-2026 georefererad karta.tif", "S 810-2026")</f>
        <v/>
      </c>
      <c r="AA49">
        <f>HYPERLINK("https://klasma.github.io/Logging_0780/klagomål/S 810-2026 FSC-klagomål.docx", "S 810-2026")</f>
        <v/>
      </c>
      <c r="AB49">
        <f>HYPERLINK("https://klasma.github.io/Logging_0780/klagomålsmail/S 810-2026 FSC-klagomål mail.docx", "S 810-2026")</f>
        <v/>
      </c>
      <c r="AC49">
        <f>HYPERLINK("https://klasma.github.io/Logging_0780/tillsyn/S 810-2026 tillsynsbegäran.docx", "S 810-2026")</f>
        <v/>
      </c>
      <c r="AD49">
        <f>HYPERLINK("https://klasma.github.io/Logging_0780/tillsynsmail/S 810-2026 tillsynsbegäran mail.docx", "S 810-2026")</f>
        <v/>
      </c>
    </row>
    <row r="50" ht="15" customHeight="1">
      <c r="A50" t="inlineStr">
        <is>
          <t>A 23510-2022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44721</v>
      </c>
      <c r="E50" s="1" t="n">
        <v>46314</v>
      </c>
      <c r="F50" t="inlineStr">
        <is>
          <t>KRONOBERGS LÄN</t>
        </is>
      </c>
      <c r="G50" t="inlineStr">
        <is>
          <t>VÄXJÖ</t>
        </is>
      </c>
      <c r="I50" t="n">
        <v>1.1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s="2" t="inlineStr">
        <is>
          <t>Robust tickgnagare</t>
        </is>
      </c>
      <c r="W50">
        <f>HYPERLINK("https://klasma.github.io/Logging_0780/artfynd/A 23510-2022 artfynd.xlsx", "A 23510-2022")</f>
        <v/>
      </c>
      <c r="X50">
        <f>HYPERLINK("https://klasma.github.io/Logging_0780/kartor/A 23510-2022 karta.png", "A 23510-2022")</f>
        <v/>
      </c>
      <c r="Y50">
        <f>HYPERLINK("https://klasma.github.io/Logging_0780/kartor_geotiff/A 23510-2022 georefererad karta.tif", "A 23510-2022")</f>
        <v/>
      </c>
      <c r="AA50">
        <f>HYPERLINK("https://klasma.github.io/Logging_0780/klagomål/A 23510-2022 FSC-klagomål.docx", "A 23510-2022")</f>
        <v/>
      </c>
      <c r="AB50">
        <f>HYPERLINK("https://klasma.github.io/Logging_0780/klagomålsmail/A 23510-2022 FSC-klagomål mail.docx", "A 23510-2022")</f>
        <v/>
      </c>
      <c r="AC50">
        <f>HYPERLINK("https://klasma.github.io/Logging_0780/tillsyn/A 23510-2022 tillsynsbegäran.docx", "A 23510-2022")</f>
        <v/>
      </c>
      <c r="AD50">
        <f>HYPERLINK("https://klasma.github.io/Logging_0780/tillsynsmail/A 23510-2022 tillsynsbegäran mail.docx", "A 23510-2022")</f>
        <v/>
      </c>
    </row>
    <row r="51" ht="15" customHeight="1">
      <c r="A51" t="inlineStr">
        <is>
          <t>A 21042-2022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44704</v>
      </c>
      <c r="E51" s="1" t="n">
        <v>46314</v>
      </c>
      <c r="F51" t="inlineStr">
        <is>
          <t>KRONOBERGS LÄN</t>
        </is>
      </c>
      <c r="G51" t="inlineStr">
        <is>
          <t>VÄXJÖ</t>
        </is>
      </c>
      <c r="I51" t="n">
        <v>2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1</v>
      </c>
      <c r="V51" s="2" t="inlineStr">
        <is>
          <t>Ladusvala</t>
        </is>
      </c>
      <c r="W51">
        <f>HYPERLINK("https://klasma.github.io/Logging_0780/artfynd/A 21042-2022 artfynd.xlsx", "A 21042-2022")</f>
        <v/>
      </c>
      <c r="X51">
        <f>HYPERLINK("https://klasma.github.io/Logging_0780/kartor/A 21042-2022 karta.png", "A 21042-2022")</f>
        <v/>
      </c>
      <c r="Y51">
        <f>HYPERLINK("https://klasma.github.io/Logging_0780/kartor_geotiff/A 21042-2022 georefererad karta.tif", "A 21042-2022")</f>
        <v/>
      </c>
      <c r="AA51">
        <f>HYPERLINK("https://klasma.github.io/Logging_0780/klagomål/A 21042-2022 FSC-klagomål.docx", "A 21042-2022")</f>
        <v/>
      </c>
      <c r="AB51">
        <f>HYPERLINK("https://klasma.github.io/Logging_0780/klagomålsmail/A 21042-2022 FSC-klagomål mail.docx", "A 21042-2022")</f>
        <v/>
      </c>
      <c r="AC51">
        <f>HYPERLINK("https://klasma.github.io/Logging_0780/tillsyn/A 21042-2022 tillsynsbegäran.docx", "A 21042-2022")</f>
        <v/>
      </c>
      <c r="AD51">
        <f>HYPERLINK("https://klasma.github.io/Logging_0780/tillsynsmail/A 21042-2022 tillsynsbegäran mail.docx", "A 21042-2022")</f>
        <v/>
      </c>
    </row>
    <row r="52" ht="15" customHeight="1">
      <c r="A52" t="inlineStr">
        <is>
          <t>A 13426-2022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44645</v>
      </c>
      <c r="E52" s="1" t="n">
        <v>46314</v>
      </c>
      <c r="F52" t="inlineStr">
        <is>
          <t>KRONOBERGS LÄN</t>
        </is>
      </c>
      <c r="G52" t="inlineStr">
        <is>
          <t>VÄXJÖ</t>
        </is>
      </c>
      <c r="I52" t="n">
        <v>0.9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1</v>
      </c>
      <c r="V52" s="2" t="inlineStr">
        <is>
          <t>Älg</t>
        </is>
      </c>
      <c r="W52">
        <f>HYPERLINK("https://klasma.github.io/Logging_0780/artfynd/A 13426-2022 artfynd.xlsx", "A 13426-2022")</f>
        <v/>
      </c>
      <c r="X52">
        <f>HYPERLINK("https://klasma.github.io/Logging_0780/kartor/A 13426-2022 karta.png", "A 13426-2022")</f>
        <v/>
      </c>
      <c r="Y52">
        <f>HYPERLINK("https://klasma.github.io/Logging_0780/kartor_geotiff/A 13426-2022 georefererad karta.tif", "A 13426-2022")</f>
        <v/>
      </c>
      <c r="AA52">
        <f>HYPERLINK("https://klasma.github.io/Logging_0780/klagomål/A 13426-2022 FSC-klagomål.docx", "A 13426-2022")</f>
        <v/>
      </c>
      <c r="AB52">
        <f>HYPERLINK("https://klasma.github.io/Logging_0780/klagomålsmail/A 13426-2022 FSC-klagomål mail.docx", "A 13426-2022")</f>
        <v/>
      </c>
      <c r="AC52">
        <f>HYPERLINK("https://klasma.github.io/Logging_0780/tillsyn/A 13426-2022 tillsynsbegäran.docx", "A 13426-2022")</f>
        <v/>
      </c>
      <c r="AD52">
        <f>HYPERLINK("https://klasma.github.io/Logging_0780/tillsynsmail/A 13426-2022 tillsynsbegäran mail.docx", "A 13426-2022")</f>
        <v/>
      </c>
    </row>
    <row r="53" ht="15" customHeight="1">
      <c r="A53" t="inlineStr">
        <is>
          <t>A 59237-2021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44490</v>
      </c>
      <c r="E53" s="1" t="n">
        <v>46314</v>
      </c>
      <c r="F53" t="inlineStr">
        <is>
          <t>KRONOBERGS LÄN</t>
        </is>
      </c>
      <c r="G53" t="inlineStr">
        <is>
          <t>VÄXJÖ</t>
        </is>
      </c>
      <c r="I53" t="n">
        <v>0.9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s="2" t="inlineStr">
        <is>
          <t>Kungsfågel</t>
        </is>
      </c>
      <c r="W53">
        <f>HYPERLINK("https://klasma.github.io/Logging_0780/artfynd/A 59237-2021 artfynd.xlsx", "A 59237-2021")</f>
        <v/>
      </c>
      <c r="X53">
        <f>HYPERLINK("https://klasma.github.io/Logging_0780/kartor/A 59237-2021 karta.png", "A 59237-2021")</f>
        <v/>
      </c>
      <c r="Y53">
        <f>HYPERLINK("https://klasma.github.io/Logging_0780/kartor_geotiff/A 59237-2021 georefererad karta.tif", "A 59237-2021")</f>
        <v/>
      </c>
      <c r="AA53">
        <f>HYPERLINK("https://klasma.github.io/Logging_0780/klagomål/A 59237-2021 FSC-klagomål.docx", "A 59237-2021")</f>
        <v/>
      </c>
      <c r="AB53">
        <f>HYPERLINK("https://klasma.github.io/Logging_0780/klagomålsmail/A 59237-2021 FSC-klagomål mail.docx", "A 59237-2021")</f>
        <v/>
      </c>
      <c r="AC53">
        <f>HYPERLINK("https://klasma.github.io/Logging_0780/tillsyn/A 59237-2021 tillsynsbegäran.docx", "A 59237-2021")</f>
        <v/>
      </c>
      <c r="AD53">
        <f>HYPERLINK("https://klasma.github.io/Logging_0780/tillsynsmail/A 59237-2021 tillsynsbegäran mail.docx", "A 59237-2021")</f>
        <v/>
      </c>
    </row>
    <row r="54" ht="15" customHeight="1">
      <c r="A54" t="inlineStr">
        <is>
          <t>A 49010-2024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45594</v>
      </c>
      <c r="E54" s="1" t="n">
        <v>46314</v>
      </c>
      <c r="F54" t="inlineStr">
        <is>
          <t>KRONOBERGS LÄN</t>
        </is>
      </c>
      <c r="G54" t="inlineStr">
        <is>
          <t>VÄXJÖ</t>
        </is>
      </c>
      <c r="H54" t="inlineStr">
        <is>
          <t>Sveaskog</t>
        </is>
      </c>
      <c r="I54" t="n">
        <v>0.8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s="2" t="inlineStr">
        <is>
          <t>Slåttergubbe</t>
        </is>
      </c>
      <c r="W54">
        <f>HYPERLINK("https://klasma.github.io/Logging_0780/artfynd/A 49010-2024 artfynd.xlsx", "A 49010-2024")</f>
        <v/>
      </c>
      <c r="X54">
        <f>HYPERLINK("https://klasma.github.io/Logging_0780/kartor/A 49010-2024 karta.png", "A 49010-2024")</f>
        <v/>
      </c>
      <c r="Y54">
        <f>HYPERLINK("https://klasma.github.io/Logging_0780/kartor_geotiff/A 49010-2024 georefererad karta.tif", "A 49010-2024")</f>
        <v/>
      </c>
      <c r="AA54">
        <f>HYPERLINK("https://klasma.github.io/Logging_0780/klagomål/A 49010-2024 FSC-klagomål.docx", "A 49010-2024")</f>
        <v/>
      </c>
      <c r="AB54">
        <f>HYPERLINK("https://klasma.github.io/Logging_0780/klagomålsmail/A 49010-2024 FSC-klagomål mail.docx", "A 49010-2024")</f>
        <v/>
      </c>
      <c r="AC54">
        <f>HYPERLINK("https://klasma.github.io/Logging_0780/tillsyn/A 49010-2024 tillsynsbegäran.docx", "A 49010-2024")</f>
        <v/>
      </c>
      <c r="AD54">
        <f>HYPERLINK("https://klasma.github.io/Logging_0780/tillsynsmail/A 49010-2024 tillsynsbegäran mail.docx", "A 49010-2024")</f>
        <v/>
      </c>
    </row>
    <row r="55" ht="15" customHeight="1">
      <c r="A55" t="inlineStr">
        <is>
          <t>A 49013-2024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45594</v>
      </c>
      <c r="E55" s="1" t="n">
        <v>46314</v>
      </c>
      <c r="F55" t="inlineStr">
        <is>
          <t>KRONOBERGS LÄN</t>
        </is>
      </c>
      <c r="G55" t="inlineStr">
        <is>
          <t>VÄXJÖ</t>
        </is>
      </c>
      <c r="H55" t="inlineStr">
        <is>
          <t>Sveaskog</t>
        </is>
      </c>
      <c r="I55" t="n">
        <v>0.8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s="2" t="inlineStr">
        <is>
          <t>Slåttergubbe</t>
        </is>
      </c>
      <c r="W55">
        <f>HYPERLINK("https://klasma.github.io/Logging_0780/artfynd/A 49013-2024 artfynd.xlsx", "A 49013-2024")</f>
        <v/>
      </c>
      <c r="X55">
        <f>HYPERLINK("https://klasma.github.io/Logging_0780/kartor/A 49013-2024 karta.png", "A 49013-2024")</f>
        <v/>
      </c>
      <c r="Y55">
        <f>HYPERLINK("https://klasma.github.io/Logging_0780/kartor_geotiff/A 49013-2024 georefererad karta.tif", "A 49013-2024")</f>
        <v/>
      </c>
      <c r="AA55">
        <f>HYPERLINK("https://klasma.github.io/Logging_0780/klagomål/A 49013-2024 FSC-klagomål.docx", "A 49013-2024")</f>
        <v/>
      </c>
      <c r="AB55">
        <f>HYPERLINK("https://klasma.github.io/Logging_0780/klagomålsmail/A 49013-2024 FSC-klagomål mail.docx", "A 49013-2024")</f>
        <v/>
      </c>
      <c r="AC55">
        <f>HYPERLINK("https://klasma.github.io/Logging_0780/tillsyn/A 49013-2024 tillsynsbegäran.docx", "A 49013-2024")</f>
        <v/>
      </c>
      <c r="AD55">
        <f>HYPERLINK("https://klasma.github.io/Logging_0780/tillsynsmail/A 49013-2024 tillsynsbegäran mail.docx", "A 49013-2024")</f>
        <v/>
      </c>
    </row>
    <row r="56" ht="15" customHeight="1">
      <c r="A56" t="inlineStr">
        <is>
          <t>A 14022-2024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45392</v>
      </c>
      <c r="E56" s="1" t="n">
        <v>46314</v>
      </c>
      <c r="F56" t="inlineStr">
        <is>
          <t>KRONOBERGS LÄN</t>
        </is>
      </c>
      <c r="G56" t="inlineStr">
        <is>
          <t>VÄXJÖ</t>
        </is>
      </c>
      <c r="H56" t="inlineStr">
        <is>
          <t>Sveaskog</t>
        </is>
      </c>
      <c r="I56" t="n">
        <v>1.4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</v>
      </c>
      <c r="U56" t="n">
        <v>1</v>
      </c>
      <c r="V56" s="2" t="inlineStr">
        <is>
          <t>Borsttåg</t>
        </is>
      </c>
      <c r="W56">
        <f>HYPERLINK("https://klasma.github.io/Logging_0780/artfynd/A 14022-2024 artfynd.xlsx", "A 14022-2024")</f>
        <v/>
      </c>
      <c r="X56">
        <f>HYPERLINK("https://klasma.github.io/Logging_0780/kartor/A 14022-2024 karta.png", "A 14022-2024")</f>
        <v/>
      </c>
      <c r="Y56">
        <f>HYPERLINK("https://klasma.github.io/Logging_0780/kartor_geotiff/A 14022-2024 georefererad karta.tif", "A 14022-2024")</f>
        <v/>
      </c>
      <c r="AA56">
        <f>HYPERLINK("https://klasma.github.io/Logging_0780/klagomål/A 14022-2024 FSC-klagomål.docx", "A 14022-2024")</f>
        <v/>
      </c>
      <c r="AB56">
        <f>HYPERLINK("https://klasma.github.io/Logging_0780/klagomålsmail/A 14022-2024 FSC-klagomål mail.docx", "A 14022-2024")</f>
        <v/>
      </c>
      <c r="AC56">
        <f>HYPERLINK("https://klasma.github.io/Logging_0780/tillsyn/A 14022-2024 tillsynsbegäran.docx", "A 14022-2024")</f>
        <v/>
      </c>
      <c r="AD56">
        <f>HYPERLINK("https://klasma.github.io/Logging_0780/tillsynsmail/A 14022-2024 tillsynsbegäran mail.docx", "A 14022-2024")</f>
        <v/>
      </c>
    </row>
    <row r="57" ht="15" customHeight="1">
      <c r="A57" t="inlineStr">
        <is>
          <t>A 21266-2022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44705</v>
      </c>
      <c r="E57" s="1" t="n">
        <v>46314</v>
      </c>
      <c r="F57" t="inlineStr">
        <is>
          <t>KRONOBERGS LÄN</t>
        </is>
      </c>
      <c r="G57" t="inlineStr">
        <is>
          <t>VÄXJÖ</t>
        </is>
      </c>
      <c r="I57" t="n">
        <v>1.5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</v>
      </c>
      <c r="U57" t="n">
        <v>1</v>
      </c>
      <c r="V57" s="2" t="inlineStr">
        <is>
          <t>Talltita</t>
        </is>
      </c>
      <c r="W57">
        <f>HYPERLINK("https://klasma.github.io/Logging_0780/artfynd/A 21266-2022 artfynd.xlsx", "A 21266-2022")</f>
        <v/>
      </c>
      <c r="X57">
        <f>HYPERLINK("https://klasma.github.io/Logging_0780/kartor/A 21266-2022 karta.png", "A 21266-2022")</f>
        <v/>
      </c>
      <c r="Y57">
        <f>HYPERLINK("https://klasma.github.io/Logging_0780/kartor_geotiff/A 21266-2022 georefererad karta.tif", "A 21266-2022")</f>
        <v/>
      </c>
      <c r="AA57">
        <f>HYPERLINK("https://klasma.github.io/Logging_0780/klagomål/A 21266-2022 FSC-klagomål.docx", "A 21266-2022")</f>
        <v/>
      </c>
      <c r="AB57">
        <f>HYPERLINK("https://klasma.github.io/Logging_0780/klagomålsmail/A 21266-2022 FSC-klagomål mail.docx", "A 21266-2022")</f>
        <v/>
      </c>
      <c r="AC57">
        <f>HYPERLINK("https://klasma.github.io/Logging_0780/tillsyn/A 21266-2022 tillsynsbegäran.docx", "A 21266-2022")</f>
        <v/>
      </c>
      <c r="AD57">
        <f>HYPERLINK("https://klasma.github.io/Logging_0780/tillsynsmail/A 21266-2022 tillsynsbegäran mail.docx", "A 21266-2022")</f>
        <v/>
      </c>
      <c r="AE57">
        <f>HYPERLINK("https://klasma.github.io/Logging_0780/fåglar/A 21266-2022 prioriterade fågelarter.docx", "A 21266-2022")</f>
        <v/>
      </c>
    </row>
    <row r="58" ht="15" customHeight="1">
      <c r="A58" t="inlineStr">
        <is>
          <t>A 60370-2024</t>
        </is>
      </c>
      <c r="B58" t="inlineStr">
        <is>
          <t>avverkningsanmälan</t>
        </is>
      </c>
      <c r="C58" t="inlineStr">
        <is>
          <t>Avverkning för annat ändamål</t>
        </is>
      </c>
      <c r="D58" s="1" t="n">
        <v>45643</v>
      </c>
      <c r="E58" s="1" t="n">
        <v>46314</v>
      </c>
      <c r="F58" t="inlineStr">
        <is>
          <t>KRONOBERGS LÄN</t>
        </is>
      </c>
      <c r="G58" t="inlineStr">
        <is>
          <t>VÄXJÖ</t>
        </is>
      </c>
      <c r="I58" t="n">
        <v>0.6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1</v>
      </c>
      <c r="U58" t="n">
        <v>1</v>
      </c>
      <c r="V58" s="2" t="inlineStr">
        <is>
          <t>Borsttåg</t>
        </is>
      </c>
      <c r="W58">
        <f>HYPERLINK("https://klasma.github.io/Logging_0780/artfynd/A 60370-2024 artfynd.xlsx", "A 60370-2024")</f>
        <v/>
      </c>
      <c r="X58">
        <f>HYPERLINK("https://klasma.github.io/Logging_0780/kartor/A 60370-2024 karta.png", "A 60370-2024")</f>
        <v/>
      </c>
      <c r="Y58">
        <f>HYPERLINK("https://klasma.github.io/Logging_0780/kartor_geotiff/A 60370-2024 georefererad karta.tif", "A 60370-2024")</f>
        <v/>
      </c>
      <c r="AA58">
        <f>HYPERLINK("https://klasma.github.io/Logging_0780/klagomål/A 60370-2024 FSC-klagomål.docx", "A 60370-2024")</f>
        <v/>
      </c>
      <c r="AB58">
        <f>HYPERLINK("https://klasma.github.io/Logging_0780/klagomålsmail/A 60370-2024 FSC-klagomål mail.docx", "A 60370-2024")</f>
        <v/>
      </c>
      <c r="AC58">
        <f>HYPERLINK("https://klasma.github.io/Logging_0780/tillsyn/A 60370-2024 tillsynsbegäran.docx", "A 60370-2024")</f>
        <v/>
      </c>
      <c r="AD58">
        <f>HYPERLINK("https://klasma.github.io/Logging_0780/tillsynsmail/A 60370-2024 tillsynsbegäran mail.docx", "A 60370-2024")</f>
        <v/>
      </c>
    </row>
    <row r="59" ht="15" customHeight="1">
      <c r="A59" t="inlineStr">
        <is>
          <t>A 27158-2022</t>
        </is>
      </c>
      <c r="B59" t="inlineStr">
        <is>
          <t>avverkningsanmälan</t>
        </is>
      </c>
      <c r="C59" t="inlineStr">
        <is>
          <t>Avverkning för annat ändamål</t>
        </is>
      </c>
      <c r="D59" s="1" t="n">
        <v>44741</v>
      </c>
      <c r="E59" s="1" t="n">
        <v>46314</v>
      </c>
      <c r="F59" t="inlineStr">
        <is>
          <t>KRONOBERGS LÄN</t>
        </is>
      </c>
      <c r="G59" t="inlineStr">
        <is>
          <t>VÄXJÖ</t>
        </is>
      </c>
      <c r="I59" t="n">
        <v>1.8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s="2" t="inlineStr">
        <is>
          <t>Slåttergubbemal</t>
        </is>
      </c>
      <c r="W59">
        <f>HYPERLINK("https://klasma.github.io/Logging_0780/artfynd/A 27158-2022 artfynd.xlsx", "A 27158-2022")</f>
        <v/>
      </c>
      <c r="X59">
        <f>HYPERLINK("https://klasma.github.io/Logging_0780/kartor/A 27158-2022 karta.png", "A 27158-2022")</f>
        <v/>
      </c>
      <c r="Y59">
        <f>HYPERLINK("https://klasma.github.io/Logging_0780/kartor_geotiff/A 27158-2022 georefererad karta.tif", "A 27158-2022")</f>
        <v/>
      </c>
      <c r="AA59">
        <f>HYPERLINK("https://klasma.github.io/Logging_0780/klagomål/A 27158-2022 FSC-klagomål.docx", "A 27158-2022")</f>
        <v/>
      </c>
      <c r="AB59">
        <f>HYPERLINK("https://klasma.github.io/Logging_0780/klagomålsmail/A 27158-2022 FSC-klagomål mail.docx", "A 27158-2022")</f>
        <v/>
      </c>
      <c r="AC59">
        <f>HYPERLINK("https://klasma.github.io/Logging_0780/tillsyn/A 27158-2022 tillsynsbegäran.docx", "A 27158-2022")</f>
        <v/>
      </c>
      <c r="AD59">
        <f>HYPERLINK("https://klasma.github.io/Logging_0780/tillsynsmail/A 27158-2022 tillsynsbegäran mail.docx", "A 27158-2022")</f>
        <v/>
      </c>
    </row>
    <row r="60" ht="15" customHeight="1">
      <c r="A60" t="inlineStr">
        <is>
          <t>A 64150-2023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45279</v>
      </c>
      <c r="E60" s="1" t="n">
        <v>46314</v>
      </c>
      <c r="F60" t="inlineStr">
        <is>
          <t>KRONOBERGS LÄN</t>
        </is>
      </c>
      <c r="G60" t="inlineStr">
        <is>
          <t>VÄXJÖ</t>
        </is>
      </c>
      <c r="I60" t="n">
        <v>7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3</v>
      </c>
      <c r="U60" t="n">
        <v>0</v>
      </c>
      <c r="V60" s="2" t="inlineStr">
        <is>
          <t>Blåmossa</t>
        </is>
      </c>
      <c r="W60">
        <f>HYPERLINK("https://klasma.github.io/Logging_0780/artfynd/A 64150-2023 artfynd.xlsx", "A 64150-2023")</f>
        <v/>
      </c>
      <c r="X60">
        <f>HYPERLINK("https://klasma.github.io/Logging_0780/kartor/A 64150-2023 karta.png", "A 64150-2023")</f>
        <v/>
      </c>
      <c r="Y60">
        <f>HYPERLINK("https://klasma.github.io/Logging_0780/kartor_geotiff/A 64150-2023 georefererad karta.tif", "A 64150-2023")</f>
        <v/>
      </c>
      <c r="AA60">
        <f>HYPERLINK("https://klasma.github.io/Logging_0780/klagomål/A 64150-2023 FSC-klagomål.docx", "A 64150-2023")</f>
        <v/>
      </c>
      <c r="AB60">
        <f>HYPERLINK("https://klasma.github.io/Logging_0780/klagomålsmail/A 64150-2023 FSC-klagomål mail.docx", "A 64150-2023")</f>
        <v/>
      </c>
      <c r="AC60">
        <f>HYPERLINK("https://klasma.github.io/Logging_0780/tillsyn/A 64150-2023 tillsynsbegäran.docx", "A 64150-2023")</f>
        <v/>
      </c>
      <c r="AD60">
        <f>HYPERLINK("https://klasma.github.io/Logging_0780/tillsynsmail/A 64150-2023 tillsynsbegäran mail.docx", "A 64150-2023")</f>
        <v/>
      </c>
    </row>
    <row r="61" ht="15" customHeight="1">
      <c r="A61" t="inlineStr">
        <is>
          <t>A 64284-2023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45280</v>
      </c>
      <c r="E61" s="1" t="n">
        <v>46314</v>
      </c>
      <c r="F61" t="inlineStr">
        <is>
          <t>KRONOBERGS LÄN</t>
        </is>
      </c>
      <c r="G61" t="inlineStr">
        <is>
          <t>VÄXJÖ</t>
        </is>
      </c>
      <c r="I61" t="n">
        <v>0.7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s="2" t="inlineStr">
        <is>
          <t>Tibast</t>
        </is>
      </c>
      <c r="W61">
        <f>HYPERLINK("https://klasma.github.io/Logging_0780/artfynd/A 64284-2023 artfynd.xlsx", "A 64284-2023")</f>
        <v/>
      </c>
      <c r="X61">
        <f>HYPERLINK("https://klasma.github.io/Logging_0780/kartor/A 64284-2023 karta.png", "A 64284-2023")</f>
        <v/>
      </c>
      <c r="Y61">
        <f>HYPERLINK("https://klasma.github.io/Logging_0780/kartor_geotiff/A 64284-2023 georefererad karta.tif", "A 64284-2023")</f>
        <v/>
      </c>
      <c r="AA61">
        <f>HYPERLINK("https://klasma.github.io/Logging_0780/klagomål/A 64284-2023 FSC-klagomål.docx", "A 64284-2023")</f>
        <v/>
      </c>
      <c r="AB61">
        <f>HYPERLINK("https://klasma.github.io/Logging_0780/klagomålsmail/A 64284-2023 FSC-klagomål mail.docx", "A 64284-2023")</f>
        <v/>
      </c>
      <c r="AC61">
        <f>HYPERLINK("https://klasma.github.io/Logging_0780/tillsyn/A 64284-2023 tillsynsbegäran.docx", "A 64284-2023")</f>
        <v/>
      </c>
      <c r="AD61">
        <f>HYPERLINK("https://klasma.github.io/Logging_0780/tillsynsmail/A 64284-2023 tillsynsbegäran mail.docx", "A 64284-2023")</f>
        <v/>
      </c>
    </row>
    <row r="62" ht="15" customHeight="1">
      <c r="A62" t="inlineStr">
        <is>
          <t>A 4654-2024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45327</v>
      </c>
      <c r="E62" s="1" t="n">
        <v>46314</v>
      </c>
      <c r="F62" t="inlineStr">
        <is>
          <t>KRONOBERGS LÄN</t>
        </is>
      </c>
      <c r="G62" t="inlineStr">
        <is>
          <t>VÄXJÖ</t>
        </is>
      </c>
      <c r="I62" t="n">
        <v>1.1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s="2" t="inlineStr">
        <is>
          <t>Blåsippa</t>
        </is>
      </c>
      <c r="W62">
        <f>HYPERLINK("https://klasma.github.io/Logging_0780/artfynd/A 4654-2024 artfynd.xlsx", "A 4654-2024")</f>
        <v/>
      </c>
      <c r="X62">
        <f>HYPERLINK("https://klasma.github.io/Logging_0780/kartor/A 4654-2024 karta.png", "A 4654-2024")</f>
        <v/>
      </c>
      <c r="Y62">
        <f>HYPERLINK("https://klasma.github.io/Logging_0780/kartor_geotiff/A 4654-2024 georefererad karta.tif", "A 4654-2024")</f>
        <v/>
      </c>
      <c r="AA62">
        <f>HYPERLINK("https://klasma.github.io/Logging_0780/klagomål/A 4654-2024 FSC-klagomål.docx", "A 4654-2024")</f>
        <v/>
      </c>
      <c r="AB62">
        <f>HYPERLINK("https://klasma.github.io/Logging_0780/klagomålsmail/A 4654-2024 FSC-klagomål mail.docx", "A 4654-2024")</f>
        <v/>
      </c>
      <c r="AC62">
        <f>HYPERLINK("https://klasma.github.io/Logging_0780/tillsyn/A 4654-2024 tillsynsbegäran.docx", "A 4654-2024")</f>
        <v/>
      </c>
      <c r="AD62">
        <f>HYPERLINK("https://klasma.github.io/Logging_0780/tillsynsmail/A 4654-2024 tillsynsbegäran mail.docx", "A 4654-2024")</f>
        <v/>
      </c>
    </row>
    <row r="63" ht="15" customHeight="1">
      <c r="A63" t="inlineStr">
        <is>
          <t>A 29290-2025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45824</v>
      </c>
      <c r="E63" s="1" t="n">
        <v>46314</v>
      </c>
      <c r="F63" t="inlineStr">
        <is>
          <t>KRONOBERGS LÄN</t>
        </is>
      </c>
      <c r="G63" t="inlineStr">
        <is>
          <t>VÄXJÖ</t>
        </is>
      </c>
      <c r="I63" t="n">
        <v>2.7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s="2" t="inlineStr">
        <is>
          <t>Plattlummer</t>
        </is>
      </c>
      <c r="W63">
        <f>HYPERLINK("https://klasma.github.io/Logging_0780/artfynd/A 29290-2025 artfynd.xlsx", "A 29290-2025")</f>
        <v/>
      </c>
      <c r="X63">
        <f>HYPERLINK("https://klasma.github.io/Logging_0780/kartor/A 29290-2025 karta.png", "A 29290-2025")</f>
        <v/>
      </c>
      <c r="Y63">
        <f>HYPERLINK("https://klasma.github.io/Logging_0780/kartor_geotiff/A 29290-2025 georefererad karta.tif", "A 29290-2025")</f>
        <v/>
      </c>
      <c r="AA63">
        <f>HYPERLINK("https://klasma.github.io/Logging_0780/klagomål/A 29290-2025 FSC-klagomål.docx", "A 29290-2025")</f>
        <v/>
      </c>
      <c r="AB63">
        <f>HYPERLINK("https://klasma.github.io/Logging_0780/klagomålsmail/A 29290-2025 FSC-klagomål mail.docx", "A 29290-2025")</f>
        <v/>
      </c>
      <c r="AC63">
        <f>HYPERLINK("https://klasma.github.io/Logging_0780/tillsyn/A 29290-2025 tillsynsbegäran.docx", "A 29290-2025")</f>
        <v/>
      </c>
      <c r="AD63">
        <f>HYPERLINK("https://klasma.github.io/Logging_0780/tillsynsmail/A 29290-2025 tillsynsbegäran mail.docx", "A 29290-2025")</f>
        <v/>
      </c>
    </row>
    <row r="64" ht="15" customHeight="1">
      <c r="A64" t="inlineStr">
        <is>
          <t>A 16796-2022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44673</v>
      </c>
      <c r="E64" s="1" t="n">
        <v>46314</v>
      </c>
      <c r="F64" t="inlineStr">
        <is>
          <t>KRONOBERGS LÄN</t>
        </is>
      </c>
      <c r="G64" t="inlineStr">
        <is>
          <t>VÄXJÖ</t>
        </is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2</v>
      </c>
      <c r="U64" t="n">
        <v>0</v>
      </c>
      <c r="V64" s="2" t="inlineStr">
        <is>
          <t>Ask</t>
        </is>
      </c>
      <c r="W64">
        <f>HYPERLINK("https://klasma.github.io/Logging_0780/artfynd/A 16796-2022 artfynd.xlsx", "A 16796-2022")</f>
        <v/>
      </c>
      <c r="X64">
        <f>HYPERLINK("https://klasma.github.io/Logging_0780/kartor/A 16796-2022 karta.png", "A 16796-2022")</f>
        <v/>
      </c>
      <c r="Y64">
        <f>HYPERLINK("https://klasma.github.io/Logging_0780/kartor_geotiff/A 16796-2022 georefererad karta.tif", "A 16796-2022")</f>
        <v/>
      </c>
      <c r="AA64">
        <f>HYPERLINK("https://klasma.github.io/Logging_0780/klagomål/A 16796-2022 FSC-klagomål.docx", "A 16796-2022")</f>
        <v/>
      </c>
      <c r="AB64">
        <f>HYPERLINK("https://klasma.github.io/Logging_0780/klagomålsmail/A 16796-2022 FSC-klagomål mail.docx", "A 16796-2022")</f>
        <v/>
      </c>
      <c r="AC64">
        <f>HYPERLINK("https://klasma.github.io/Logging_0780/tillsyn/A 16796-2022 tillsynsbegäran.docx", "A 16796-2022")</f>
        <v/>
      </c>
      <c r="AD64">
        <f>HYPERLINK("https://klasma.github.io/Logging_0780/tillsynsmail/A 16796-2022 tillsynsbegäran mail.docx", "A 16796-2022")</f>
        <v/>
      </c>
    </row>
    <row r="65" ht="15" customHeight="1">
      <c r="A65" t="inlineStr">
        <is>
          <t>A 19379-2024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45428</v>
      </c>
      <c r="E65" s="1" t="n">
        <v>46314</v>
      </c>
      <c r="F65" t="inlineStr">
        <is>
          <t>KRONOBERGS LÄN</t>
        </is>
      </c>
      <c r="G65" t="inlineStr">
        <is>
          <t>VÄXJÖ</t>
        </is>
      </c>
      <c r="H65" t="inlineStr">
        <is>
          <t>Kyrkan</t>
        </is>
      </c>
      <c r="I65" t="n">
        <v>9.4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1</v>
      </c>
      <c r="V65" s="2" t="inlineStr">
        <is>
          <t>Blåmossa</t>
        </is>
      </c>
      <c r="W65">
        <f>HYPERLINK("https://klasma.github.io/Logging_0780/artfynd/A 19379-2024 artfynd.xlsx", "A 19379-2024")</f>
        <v/>
      </c>
      <c r="X65">
        <f>HYPERLINK("https://klasma.github.io/Logging_0780/kartor/A 19379-2024 karta.png", "A 19379-2024")</f>
        <v/>
      </c>
      <c r="Y65">
        <f>HYPERLINK("https://klasma.github.io/Logging_0780/kartor_geotiff/A 19379-2024 georefererad karta.tif", "A 19379-2024")</f>
        <v/>
      </c>
      <c r="AA65">
        <f>HYPERLINK("https://klasma.github.io/Logging_0780/klagomål/A 19379-2024 FSC-klagomål.docx", "A 19379-2024")</f>
        <v/>
      </c>
      <c r="AB65">
        <f>HYPERLINK("https://klasma.github.io/Logging_0780/klagomålsmail/A 19379-2024 FSC-klagomål mail.docx", "A 19379-2024")</f>
        <v/>
      </c>
      <c r="AC65">
        <f>HYPERLINK("https://klasma.github.io/Logging_0780/tillsyn/A 19379-2024 tillsynsbegäran.docx", "A 19379-2024")</f>
        <v/>
      </c>
      <c r="AD65">
        <f>HYPERLINK("https://klasma.github.io/Logging_0780/tillsynsmail/A 19379-2024 tillsynsbegäran mail.docx", "A 19379-2024")</f>
        <v/>
      </c>
    </row>
    <row r="66" ht="15" customHeight="1">
      <c r="A66" t="inlineStr">
        <is>
          <t>A 28084-2022</t>
        </is>
      </c>
      <c r="B66" t="inlineStr">
        <is>
          <t>avverkningsanmälan</t>
        </is>
      </c>
      <c r="C66" t="inlineStr">
        <is>
          <t>Avverkning för annat ändamål</t>
        </is>
      </c>
      <c r="D66" s="1" t="n">
        <v>44746</v>
      </c>
      <c r="E66" s="1" t="n">
        <v>46314</v>
      </c>
      <c r="F66" t="inlineStr">
        <is>
          <t>KRONOBERGS LÄN</t>
        </is>
      </c>
      <c r="G66" t="inlineStr">
        <is>
          <t>VÄXJÖ</t>
        </is>
      </c>
      <c r="I66" t="n">
        <v>3.6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s="2" t="inlineStr">
        <is>
          <t>Slåttergubbemal</t>
        </is>
      </c>
      <c r="W66">
        <f>HYPERLINK("https://klasma.github.io/Logging_0780/artfynd/A 28084-2022 artfynd.xlsx", "A 28084-2022")</f>
        <v/>
      </c>
      <c r="X66">
        <f>HYPERLINK("https://klasma.github.io/Logging_0780/kartor/A 28084-2022 karta.png", "A 28084-2022")</f>
        <v/>
      </c>
      <c r="Y66">
        <f>HYPERLINK("https://klasma.github.io/Logging_0780/kartor_geotiff/A 28084-2022 georefererad karta.tif", "A 28084-2022")</f>
        <v/>
      </c>
      <c r="AA66">
        <f>HYPERLINK("https://klasma.github.io/Logging_0780/klagomål/A 28084-2022 FSC-klagomål.docx", "A 28084-2022")</f>
        <v/>
      </c>
      <c r="AB66">
        <f>HYPERLINK("https://klasma.github.io/Logging_0780/klagomålsmail/A 28084-2022 FSC-klagomål mail.docx", "A 28084-2022")</f>
        <v/>
      </c>
      <c r="AC66">
        <f>HYPERLINK("https://klasma.github.io/Logging_0780/tillsyn/A 28084-2022 tillsynsbegäran.docx", "A 28084-2022")</f>
        <v/>
      </c>
      <c r="AD66">
        <f>HYPERLINK("https://klasma.github.io/Logging_0780/tillsynsmail/A 28084-2022 tillsynsbegäran mail.docx", "A 28084-2022")</f>
        <v/>
      </c>
    </row>
    <row r="67" ht="15" customHeight="1">
      <c r="A67" t="inlineStr">
        <is>
          <t>A 23155-2026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46161</v>
      </c>
      <c r="E67" s="1" t="n">
        <v>46314</v>
      </c>
      <c r="F67" t="inlineStr">
        <is>
          <t>KRONOBERGS LÄN</t>
        </is>
      </c>
      <c r="G67" t="inlineStr">
        <is>
          <t>VÄXJÖ</t>
        </is>
      </c>
      <c r="I67" t="n">
        <v>0.5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1</v>
      </c>
      <c r="U67" t="n">
        <v>0</v>
      </c>
      <c r="V67" s="2" t="inlineStr">
        <is>
          <t>Vedtrappmossa</t>
        </is>
      </c>
      <c r="W67">
        <f>HYPERLINK("https://klasma.github.io/Logging_0780/artfynd/A 23155-2026 artfynd.xlsx", "A 23155-2026")</f>
        <v/>
      </c>
      <c r="X67">
        <f>HYPERLINK("https://klasma.github.io/Logging_0780/kartor/A 23155-2026 karta.png", "A 23155-2026")</f>
        <v/>
      </c>
      <c r="Y67">
        <f>HYPERLINK("https://klasma.github.io/Logging_0780/kartor_geotiff/A 23155-2026 georefererad karta.tif", "A 23155-2026")</f>
        <v/>
      </c>
      <c r="AA67">
        <f>HYPERLINK("https://klasma.github.io/Logging_0780/klagomål/A 23155-2026 FSC-klagomål.docx", "A 23155-2026")</f>
        <v/>
      </c>
      <c r="AB67">
        <f>HYPERLINK("https://klasma.github.io/Logging_0780/klagomålsmail/A 23155-2026 FSC-klagomål mail.docx", "A 23155-2026")</f>
        <v/>
      </c>
      <c r="AC67">
        <f>HYPERLINK("https://klasma.github.io/Logging_0780/tillsyn/A 23155-2026 tillsynsbegäran.docx", "A 23155-2026")</f>
        <v/>
      </c>
      <c r="AD67">
        <f>HYPERLINK("https://klasma.github.io/Logging_0780/tillsynsmail/A 23155-2026 tillsynsbegäran mail.docx", "A 23155-2026")</f>
        <v/>
      </c>
    </row>
    <row r="68" ht="15" customHeight="1">
      <c r="A68" t="inlineStr">
        <is>
          <t>A 54112-2025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45964</v>
      </c>
      <c r="E68" s="1" t="n">
        <v>46314</v>
      </c>
      <c r="F68" t="inlineStr">
        <is>
          <t>KRONOBERGS LÄN</t>
        </is>
      </c>
      <c r="G68" t="inlineStr">
        <is>
          <t>VÄXJÖ</t>
        </is>
      </c>
      <c r="I68" t="n">
        <v>0.9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1</v>
      </c>
      <c r="V68" s="2" t="inlineStr">
        <is>
          <t>Sångsvan</t>
        </is>
      </c>
      <c r="W68">
        <f>HYPERLINK("https://klasma.github.io/Logging_0780/artfynd/A 54112-2025 artfynd.xlsx", "A 54112-2025")</f>
        <v/>
      </c>
      <c r="X68">
        <f>HYPERLINK("https://klasma.github.io/Logging_0780/kartor/A 54112-2025 karta.png", "A 54112-2025")</f>
        <v/>
      </c>
      <c r="Y68">
        <f>HYPERLINK("https://klasma.github.io/Logging_0780/kartor_geotiff/A 54112-2025 georefererad karta.tif", "A 54112-2025")</f>
        <v/>
      </c>
      <c r="AA68">
        <f>HYPERLINK("https://klasma.github.io/Logging_0780/klagomål/A 54112-2025 FSC-klagomål.docx", "A 54112-2025")</f>
        <v/>
      </c>
      <c r="AB68">
        <f>HYPERLINK("https://klasma.github.io/Logging_0780/klagomålsmail/A 54112-2025 FSC-klagomål mail.docx", "A 54112-2025")</f>
        <v/>
      </c>
      <c r="AC68">
        <f>HYPERLINK("https://klasma.github.io/Logging_0780/tillsyn/A 54112-2025 tillsynsbegäran.docx", "A 54112-2025")</f>
        <v/>
      </c>
      <c r="AD68">
        <f>HYPERLINK("https://klasma.github.io/Logging_0780/tillsynsmail/A 54112-2025 tillsynsbegäran mail.docx", "A 54112-2025")</f>
        <v/>
      </c>
      <c r="AE68">
        <f>HYPERLINK("https://klasma.github.io/Logging_0780/fåglar/A 54112-2025 prioriterade fågelarter.docx", "A 54112-2025")</f>
        <v/>
      </c>
    </row>
    <row r="69" ht="15" customHeight="1">
      <c r="A69" t="inlineStr">
        <is>
          <t>A 23151-2026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46161</v>
      </c>
      <c r="E69" s="1" t="n">
        <v>46314</v>
      </c>
      <c r="F69" t="inlineStr">
        <is>
          <t>KRONOBERGS LÄN</t>
        </is>
      </c>
      <c r="G69" t="inlineStr">
        <is>
          <t>VÄXJÖ</t>
        </is>
      </c>
      <c r="I69" t="n">
        <v>0.9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4</v>
      </c>
      <c r="U69" t="n">
        <v>0</v>
      </c>
      <c r="V69" s="2" t="inlineStr">
        <is>
          <t>Hårklomossa</t>
        </is>
      </c>
      <c r="W69">
        <f>HYPERLINK("https://klasma.github.io/Logging_0780/artfynd/A 23151-2026 artfynd.xlsx", "A 23151-2026")</f>
        <v/>
      </c>
      <c r="X69">
        <f>HYPERLINK("https://klasma.github.io/Logging_0780/kartor/A 23151-2026 karta.png", "A 23151-2026")</f>
        <v/>
      </c>
      <c r="Y69">
        <f>HYPERLINK("https://klasma.github.io/Logging_0780/kartor_geotiff/A 23151-2026 georefererad karta.tif", "A 23151-2026")</f>
        <v/>
      </c>
      <c r="AA69">
        <f>HYPERLINK("https://klasma.github.io/Logging_0780/klagomål/A 23151-2026 FSC-klagomål.docx", "A 23151-2026")</f>
        <v/>
      </c>
      <c r="AB69">
        <f>HYPERLINK("https://klasma.github.io/Logging_0780/klagomålsmail/A 23151-2026 FSC-klagomål mail.docx", "A 23151-2026")</f>
        <v/>
      </c>
      <c r="AC69">
        <f>HYPERLINK("https://klasma.github.io/Logging_0780/tillsyn/A 23151-2026 tillsynsbegäran.docx", "A 23151-2026")</f>
        <v/>
      </c>
      <c r="AD69">
        <f>HYPERLINK("https://klasma.github.io/Logging_0780/tillsynsmail/A 23151-2026 tillsynsbegäran mail.docx", "A 23151-2026")</f>
        <v/>
      </c>
    </row>
    <row r="70" ht="15" customHeight="1">
      <c r="A70" t="inlineStr">
        <is>
          <t>A 56802-2025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45978</v>
      </c>
      <c r="E70" s="1" t="n">
        <v>46314</v>
      </c>
      <c r="F70" t="inlineStr">
        <is>
          <t>KRONOBERGS LÄN</t>
        </is>
      </c>
      <c r="G70" t="inlineStr">
        <is>
          <t>VÄXJÖ</t>
        </is>
      </c>
      <c r="I70" t="n">
        <v>0.9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s="2" t="inlineStr">
        <is>
          <t>Knärot</t>
        </is>
      </c>
      <c r="W70">
        <f>HYPERLINK("https://klasma.github.io/Logging_0780/artfynd/A 56802-2025 artfynd.xlsx", "A 56802-2025")</f>
        <v/>
      </c>
      <c r="X70">
        <f>HYPERLINK("https://klasma.github.io/Logging_0780/kartor/A 56802-2025 karta.png", "A 56802-2025")</f>
        <v/>
      </c>
      <c r="Y70">
        <f>HYPERLINK("https://klasma.github.io/Logging_0780/kartor_geotiff/A 56802-2025 georefererad karta.tif", "A 56802-2025")</f>
        <v/>
      </c>
      <c r="Z70">
        <f>HYPERLINK("https://klasma.github.io/Logging_0780/knärot/A 56802-2025 karta knärot.png", "A 56802-2025")</f>
        <v/>
      </c>
      <c r="AA70">
        <f>HYPERLINK("https://klasma.github.io/Logging_0780/klagomål/A 56802-2025 FSC-klagomål.docx", "A 56802-2025")</f>
        <v/>
      </c>
      <c r="AB70">
        <f>HYPERLINK("https://klasma.github.io/Logging_0780/klagomålsmail/A 56802-2025 FSC-klagomål mail.docx", "A 56802-2025")</f>
        <v/>
      </c>
      <c r="AC70">
        <f>HYPERLINK("https://klasma.github.io/Logging_0780/tillsyn/A 56802-2025 tillsynsbegäran.docx", "A 56802-2025")</f>
        <v/>
      </c>
      <c r="AD70">
        <f>HYPERLINK("https://klasma.github.io/Logging_0780/tillsynsmail/A 56802-2025 tillsynsbegäran mail.docx", "A 56802-2025")</f>
        <v/>
      </c>
    </row>
    <row r="71" ht="15" customHeight="1">
      <c r="A71" t="inlineStr">
        <is>
          <t>A 52833-2022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44872</v>
      </c>
      <c r="E71" s="1" t="n">
        <v>46314</v>
      </c>
      <c r="F71" t="inlineStr">
        <is>
          <t>KRONOBERGS LÄN</t>
        </is>
      </c>
      <c r="G71" t="inlineStr">
        <is>
          <t>VÄXJÖ</t>
        </is>
      </c>
      <c r="I71" t="n">
        <v>2.5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1</v>
      </c>
      <c r="U71" t="n">
        <v>0</v>
      </c>
      <c r="V71" s="2" t="inlineStr">
        <is>
          <t>Svinrot</t>
        </is>
      </c>
      <c r="W71">
        <f>HYPERLINK("https://klasma.github.io/Logging_0780/artfynd/A 52833-2022 artfynd.xlsx", "A 52833-2022")</f>
        <v/>
      </c>
      <c r="X71">
        <f>HYPERLINK("https://klasma.github.io/Logging_0780/kartor/A 52833-2022 karta.png", "A 52833-2022")</f>
        <v/>
      </c>
      <c r="Y71">
        <f>HYPERLINK("https://klasma.github.io/Logging_0780/kartor_geotiff/A 52833-2022 georefererad karta.tif", "A 52833-2022")</f>
        <v/>
      </c>
      <c r="AA71">
        <f>HYPERLINK("https://klasma.github.io/Logging_0780/klagomål/A 52833-2022 FSC-klagomål.docx", "A 52833-2022")</f>
        <v/>
      </c>
      <c r="AB71">
        <f>HYPERLINK("https://klasma.github.io/Logging_0780/klagomålsmail/A 52833-2022 FSC-klagomål mail.docx", "A 52833-2022")</f>
        <v/>
      </c>
      <c r="AC71">
        <f>HYPERLINK("https://klasma.github.io/Logging_0780/tillsyn/A 52833-2022 tillsynsbegäran.docx", "A 52833-2022")</f>
        <v/>
      </c>
      <c r="AD71">
        <f>HYPERLINK("https://klasma.github.io/Logging_0780/tillsynsmail/A 52833-2022 tillsynsbegäran mail.docx", "A 52833-2022")</f>
        <v/>
      </c>
    </row>
    <row r="72" ht="15" customHeight="1">
      <c r="A72" t="inlineStr">
        <is>
          <t>A 16838-2025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45754</v>
      </c>
      <c r="E72" s="1" t="n">
        <v>46314</v>
      </c>
      <c r="F72" t="inlineStr">
        <is>
          <t>KRONOBERGS LÄN</t>
        </is>
      </c>
      <c r="G72" t="inlineStr">
        <is>
          <t>VÄXJÖ</t>
        </is>
      </c>
      <c r="I72" t="n">
        <v>2.1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1</v>
      </c>
      <c r="V72" s="2" t="inlineStr">
        <is>
          <t>Gullpudra</t>
        </is>
      </c>
      <c r="W72">
        <f>HYPERLINK("https://klasma.github.io/Logging_0780/artfynd/A 16838-2025 artfynd.xlsx", "A 16838-2025")</f>
        <v/>
      </c>
      <c r="X72">
        <f>HYPERLINK("https://klasma.github.io/Logging_0780/kartor/A 16838-2025 karta.png", "A 16838-2025")</f>
        <v/>
      </c>
      <c r="Y72">
        <f>HYPERLINK("https://klasma.github.io/Logging_0780/kartor_geotiff/A 16838-2025 georefererad karta.tif", "A 16838-2025")</f>
        <v/>
      </c>
      <c r="AA72">
        <f>HYPERLINK("https://klasma.github.io/Logging_0780/klagomål/A 16838-2025 FSC-klagomål.docx", "A 16838-2025")</f>
        <v/>
      </c>
      <c r="AB72">
        <f>HYPERLINK("https://klasma.github.io/Logging_0780/klagomålsmail/A 16838-2025 FSC-klagomål mail.docx", "A 16838-2025")</f>
        <v/>
      </c>
      <c r="AC72">
        <f>HYPERLINK("https://klasma.github.io/Logging_0780/tillsyn/A 16838-2025 tillsynsbegäran.docx", "A 16838-2025")</f>
        <v/>
      </c>
      <c r="AD72">
        <f>HYPERLINK("https://klasma.github.io/Logging_0780/tillsynsmail/A 16838-2025 tillsynsbegäran mail.docx", "A 16838-2025")</f>
        <v/>
      </c>
    </row>
    <row r="73" ht="15" customHeight="1">
      <c r="A73" t="inlineStr">
        <is>
          <t>A 4380-2026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46045</v>
      </c>
      <c r="E73" s="1" t="n">
        <v>46314</v>
      </c>
      <c r="F73" t="inlineStr">
        <is>
          <t>KRONOBERGS LÄN</t>
        </is>
      </c>
      <c r="G73" t="inlineStr">
        <is>
          <t>VÄXJÖ</t>
        </is>
      </c>
      <c r="I73" t="n">
        <v>3.9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s="2" t="inlineStr">
        <is>
          <t>Mattlummer</t>
        </is>
      </c>
      <c r="W73">
        <f>HYPERLINK("https://klasma.github.io/Logging_0780/artfynd/A 4380-2026 artfynd.xlsx", "A 4380-2026")</f>
        <v/>
      </c>
      <c r="X73">
        <f>HYPERLINK("https://klasma.github.io/Logging_0780/kartor/A 4380-2026 karta.png", "A 4380-2026")</f>
        <v/>
      </c>
      <c r="Y73">
        <f>HYPERLINK("https://klasma.github.io/Logging_0780/kartor_geotiff/A 4380-2026 georefererad karta.tif", "A 4380-2026")</f>
        <v/>
      </c>
      <c r="AA73">
        <f>HYPERLINK("https://klasma.github.io/Logging_0780/klagomål/A 4380-2026 FSC-klagomål.docx", "A 4380-2026")</f>
        <v/>
      </c>
      <c r="AB73">
        <f>HYPERLINK("https://klasma.github.io/Logging_0780/klagomålsmail/A 4380-2026 FSC-klagomål mail.docx", "A 4380-2026")</f>
        <v/>
      </c>
      <c r="AC73">
        <f>HYPERLINK("https://klasma.github.io/Logging_0780/tillsyn/A 4380-2026 tillsynsbegäran.docx", "A 4380-2026")</f>
        <v/>
      </c>
      <c r="AD73">
        <f>HYPERLINK("https://klasma.github.io/Logging_0780/tillsynsmail/A 4380-2026 tillsynsbegäran mail.docx", "A 4380-2026")</f>
        <v/>
      </c>
    </row>
    <row r="74" ht="15" customHeight="1">
      <c r="A74" t="inlineStr">
        <is>
          <t>A 4819-2025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45688</v>
      </c>
      <c r="E74" s="1" t="n">
        <v>46314</v>
      </c>
      <c r="F74" t="inlineStr">
        <is>
          <t>KRONOBERGS LÄN</t>
        </is>
      </c>
      <c r="G74" t="inlineStr">
        <is>
          <t>VÄXJÖ</t>
        </is>
      </c>
      <c r="I74" t="n">
        <v>2.7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s="2" t="inlineStr">
        <is>
          <t>Revlummer</t>
        </is>
      </c>
      <c r="W74">
        <f>HYPERLINK("https://klasma.github.io/Logging_0780/artfynd/A 4819-2025 artfynd.xlsx", "A 4819-2025")</f>
        <v/>
      </c>
      <c r="X74">
        <f>HYPERLINK("https://klasma.github.io/Logging_0780/kartor/A 4819-2025 karta.png", "A 4819-2025")</f>
        <v/>
      </c>
      <c r="Y74">
        <f>HYPERLINK("https://klasma.github.io/Logging_0780/kartor_geotiff/A 4819-2025 georefererad karta.tif", "A 4819-2025")</f>
        <v/>
      </c>
      <c r="AA74">
        <f>HYPERLINK("https://klasma.github.io/Logging_0780/klagomål/A 4819-2025 FSC-klagomål.docx", "A 4819-2025")</f>
        <v/>
      </c>
      <c r="AB74">
        <f>HYPERLINK("https://klasma.github.io/Logging_0780/klagomålsmail/A 4819-2025 FSC-klagomål mail.docx", "A 4819-2025")</f>
        <v/>
      </c>
      <c r="AC74">
        <f>HYPERLINK("https://klasma.github.io/Logging_0780/tillsyn/A 4819-2025 tillsynsbegäran.docx", "A 4819-2025")</f>
        <v/>
      </c>
      <c r="AD74">
        <f>HYPERLINK("https://klasma.github.io/Logging_0780/tillsynsmail/A 4819-2025 tillsynsbegäran mail.docx", "A 4819-2025")</f>
        <v/>
      </c>
    </row>
    <row r="75" ht="15" customHeight="1">
      <c r="A75" t="inlineStr">
        <is>
          <t>A 63249-2023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45273</v>
      </c>
      <c r="E75" s="1" t="n">
        <v>46314</v>
      </c>
      <c r="F75" t="inlineStr">
        <is>
          <t>KRONOBERGS LÄN</t>
        </is>
      </c>
      <c r="G75" t="inlineStr">
        <is>
          <t>VÄXJÖ</t>
        </is>
      </c>
      <c r="I75" t="n">
        <v>1.1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</v>
      </c>
      <c r="U75" t="n">
        <v>0</v>
      </c>
      <c r="V75" s="2" t="inlineStr">
        <is>
          <t>Gropticka</t>
        </is>
      </c>
      <c r="W75">
        <f>HYPERLINK("https://klasma.github.io/Logging_0780/artfynd/A 63249-2023 artfynd.xlsx", "A 63249-2023")</f>
        <v/>
      </c>
      <c r="X75">
        <f>HYPERLINK("https://klasma.github.io/Logging_0780/kartor/A 63249-2023 karta.png", "A 63249-2023")</f>
        <v/>
      </c>
      <c r="Y75">
        <f>HYPERLINK("https://klasma.github.io/Logging_0780/kartor_geotiff/A 63249-2023 georefererad karta.tif", "A 63249-2023")</f>
        <v/>
      </c>
      <c r="AA75">
        <f>HYPERLINK("https://klasma.github.io/Logging_0780/klagomål/A 63249-2023 FSC-klagomål.docx", "A 63249-2023")</f>
        <v/>
      </c>
      <c r="AB75">
        <f>HYPERLINK("https://klasma.github.io/Logging_0780/klagomålsmail/A 63249-2023 FSC-klagomål mail.docx", "A 63249-2023")</f>
        <v/>
      </c>
      <c r="AC75">
        <f>HYPERLINK("https://klasma.github.io/Logging_0780/tillsyn/A 63249-2023 tillsynsbegäran.docx", "A 63249-2023")</f>
        <v/>
      </c>
      <c r="AD75">
        <f>HYPERLINK("https://klasma.github.io/Logging_0780/tillsynsmail/A 63249-2023 tillsynsbegäran mail.docx", "A 63249-2023")</f>
        <v/>
      </c>
    </row>
    <row r="76" ht="15" customHeight="1">
      <c r="A76" t="inlineStr">
        <is>
          <t>A 49086-2024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45594</v>
      </c>
      <c r="E76" s="1" t="n">
        <v>46314</v>
      </c>
      <c r="F76" t="inlineStr">
        <is>
          <t>KRONOBERGS LÄN</t>
        </is>
      </c>
      <c r="G76" t="inlineStr">
        <is>
          <t>VÄXJÖ</t>
        </is>
      </c>
      <c r="H76" t="inlineStr">
        <is>
          <t>Sveaskog</t>
        </is>
      </c>
      <c r="I76" t="n">
        <v>2.7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s="2" t="inlineStr">
        <is>
          <t>Röd glada</t>
        </is>
      </c>
      <c r="W76">
        <f>HYPERLINK("https://klasma.github.io/Logging_0780/artfynd/A 49086-2024 artfynd.xlsx", "A 49086-2024")</f>
        <v/>
      </c>
      <c r="X76">
        <f>HYPERLINK("https://klasma.github.io/Logging_0780/kartor/A 49086-2024 karta.png", "A 49086-2024")</f>
        <v/>
      </c>
      <c r="Y76">
        <f>HYPERLINK("https://klasma.github.io/Logging_0780/kartor_geotiff/A 49086-2024 georefererad karta.tif", "A 49086-2024")</f>
        <v/>
      </c>
      <c r="AA76">
        <f>HYPERLINK("https://klasma.github.io/Logging_0780/klagomål/A 49086-2024 FSC-klagomål.docx", "A 49086-2024")</f>
        <v/>
      </c>
      <c r="AB76">
        <f>HYPERLINK("https://klasma.github.io/Logging_0780/klagomålsmail/A 49086-2024 FSC-klagomål mail.docx", "A 49086-2024")</f>
        <v/>
      </c>
      <c r="AC76">
        <f>HYPERLINK("https://klasma.github.io/Logging_0780/tillsyn/A 49086-2024 tillsynsbegäran.docx", "A 49086-2024")</f>
        <v/>
      </c>
      <c r="AD76">
        <f>HYPERLINK("https://klasma.github.io/Logging_0780/tillsynsmail/A 49086-2024 tillsynsbegäran mail.docx", "A 49086-2024")</f>
        <v/>
      </c>
      <c r="AE76">
        <f>HYPERLINK("https://klasma.github.io/Logging_0780/fåglar/A 49086-2024 prioriterade fågelarter.docx", "A 49086-2024")</f>
        <v/>
      </c>
    </row>
    <row r="77" ht="15" customHeight="1">
      <c r="A77" t="inlineStr">
        <is>
          <t>A 29074-2026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46199</v>
      </c>
      <c r="E77" s="1" t="n">
        <v>46314</v>
      </c>
      <c r="F77" t="inlineStr">
        <is>
          <t>KRONOBERGS LÄN</t>
        </is>
      </c>
      <c r="G77" t="inlineStr">
        <is>
          <t>VÄXJÖ</t>
        </is>
      </c>
      <c r="I77" t="n">
        <v>5.5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s="2" t="inlineStr">
        <is>
          <t>Blåmossa</t>
        </is>
      </c>
      <c r="W77">
        <f>HYPERLINK("https://klasma.github.io/Logging_0780/artfynd/A 29074-2026 artfynd.xlsx", "A 29074-2026")</f>
        <v/>
      </c>
      <c r="X77">
        <f>HYPERLINK("https://klasma.github.io/Logging_0780/kartor/A 29074-2026 karta.png", "A 29074-2026")</f>
        <v/>
      </c>
      <c r="Y77">
        <f>HYPERLINK("https://klasma.github.io/Logging_0780/kartor_geotiff/A 29074-2026 georefererad karta.tif", "A 29074-2026")</f>
        <v/>
      </c>
      <c r="AA77">
        <f>HYPERLINK("https://klasma.github.io/Logging_0780/klagomål/A 29074-2026 FSC-klagomål.docx", "A 29074-2026")</f>
        <v/>
      </c>
      <c r="AB77">
        <f>HYPERLINK("https://klasma.github.io/Logging_0780/klagomålsmail/A 29074-2026 FSC-klagomål mail.docx", "A 29074-2026")</f>
        <v/>
      </c>
      <c r="AC77">
        <f>HYPERLINK("https://klasma.github.io/Logging_0780/tillsyn/A 29074-2026 tillsynsbegäran.docx", "A 29074-2026")</f>
        <v/>
      </c>
      <c r="AD77">
        <f>HYPERLINK("https://klasma.github.io/Logging_0780/tillsynsmail/A 29074-2026 tillsynsbegäran mail.docx", "A 29074-2026")</f>
        <v/>
      </c>
    </row>
    <row r="78" ht="15" customHeight="1">
      <c r="A78" t="inlineStr">
        <is>
          <t>A 36056-2024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45533</v>
      </c>
      <c r="E78" s="1" t="n">
        <v>46314</v>
      </c>
      <c r="F78" t="inlineStr">
        <is>
          <t>KRONOBERGS LÄN</t>
        </is>
      </c>
      <c r="G78" t="inlineStr">
        <is>
          <t>VÄXJÖ</t>
        </is>
      </c>
      <c r="I78" t="n">
        <v>1.2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1</v>
      </c>
      <c r="T78" t="n">
        <v>1</v>
      </c>
      <c r="U78" t="n">
        <v>0</v>
      </c>
      <c r="V78" s="2" t="inlineStr">
        <is>
          <t>Slåttergubbe</t>
        </is>
      </c>
      <c r="W78">
        <f>HYPERLINK("https://klasma.github.io/Logging_0780/artfynd/A 36056-2024 artfynd.xlsx", "A 36056-2024")</f>
        <v/>
      </c>
      <c r="X78">
        <f>HYPERLINK("https://klasma.github.io/Logging_0780/kartor/A 36056-2024 karta.png", "A 36056-2024")</f>
        <v/>
      </c>
      <c r="Y78">
        <f>HYPERLINK("https://klasma.github.io/Logging_0780/kartor_geotiff/A 36056-2024 georefererad karta.tif", "A 36056-2024")</f>
        <v/>
      </c>
      <c r="AA78">
        <f>HYPERLINK("https://klasma.github.io/Logging_0780/klagomål/A 36056-2024 FSC-klagomål.docx", "A 36056-2024")</f>
        <v/>
      </c>
      <c r="AB78">
        <f>HYPERLINK("https://klasma.github.io/Logging_0780/klagomålsmail/A 36056-2024 FSC-klagomål mail.docx", "A 36056-2024")</f>
        <v/>
      </c>
      <c r="AC78">
        <f>HYPERLINK("https://klasma.github.io/Logging_0780/tillsyn/A 36056-2024 tillsynsbegäran.docx", "A 36056-2024")</f>
        <v/>
      </c>
      <c r="AD78">
        <f>HYPERLINK("https://klasma.github.io/Logging_0780/tillsynsmail/A 36056-2024 tillsynsbegäran mail.docx", "A 36056-2024")</f>
        <v/>
      </c>
    </row>
    <row r="79" ht="15" customHeight="1">
      <c r="A79" t="inlineStr">
        <is>
          <t>A 31667-2023</t>
        </is>
      </c>
      <c r="B79" t="inlineStr">
        <is>
          <t>avverkningsanmälan</t>
        </is>
      </c>
      <c r="C79" t="inlineStr">
        <is>
          <t>Avverkning för annat ändamål</t>
        </is>
      </c>
      <c r="D79" s="1" t="n">
        <v>45098</v>
      </c>
      <c r="E79" s="1" t="n">
        <v>46314</v>
      </c>
      <c r="F79" t="inlineStr">
        <is>
          <t>KRONOBERGS LÄN</t>
        </is>
      </c>
      <c r="G79" t="inlineStr">
        <is>
          <t>VÄXJÖ</t>
        </is>
      </c>
      <c r="I79" t="n">
        <v>1.5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2</v>
      </c>
      <c r="U79" t="n">
        <v>0</v>
      </c>
      <c r="V79" s="2" t="inlineStr">
        <is>
          <t>Hårklomossa</t>
        </is>
      </c>
      <c r="W79">
        <f>HYPERLINK("https://klasma.github.io/Logging_0780/artfynd/A 31667-2023 artfynd.xlsx", "A 31667-2023")</f>
        <v/>
      </c>
      <c r="X79">
        <f>HYPERLINK("https://klasma.github.io/Logging_0780/kartor/A 31667-2023 karta.png", "A 31667-2023")</f>
        <v/>
      </c>
      <c r="Y79">
        <f>HYPERLINK("https://klasma.github.io/Logging_0780/kartor_geotiff/A 31667-2023 georefererad karta.tif", "A 31667-2023")</f>
        <v/>
      </c>
      <c r="AA79">
        <f>HYPERLINK("https://klasma.github.io/Logging_0780/klagomål/A 31667-2023 FSC-klagomål.docx", "A 31667-2023")</f>
        <v/>
      </c>
      <c r="AB79">
        <f>HYPERLINK("https://klasma.github.io/Logging_0780/klagomålsmail/A 31667-2023 FSC-klagomål mail.docx", "A 31667-2023")</f>
        <v/>
      </c>
      <c r="AC79">
        <f>HYPERLINK("https://klasma.github.io/Logging_0780/tillsyn/A 31667-2023 tillsynsbegäran.docx", "A 31667-2023")</f>
        <v/>
      </c>
      <c r="AD79">
        <f>HYPERLINK("https://klasma.github.io/Logging_0780/tillsynsmail/A 31667-2023 tillsynsbegäran mail.docx", "A 31667-2023")</f>
        <v/>
      </c>
    </row>
    <row r="80" ht="15" customHeight="1">
      <c r="A80" t="inlineStr">
        <is>
          <t>A 64278-2023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45280</v>
      </c>
      <c r="E80" s="1" t="n">
        <v>46314</v>
      </c>
      <c r="F80" t="inlineStr">
        <is>
          <t>KRONOBERGS LÄN</t>
        </is>
      </c>
      <c r="G80" t="inlineStr">
        <is>
          <t>VÄXJÖ</t>
        </is>
      </c>
      <c r="I80" t="n">
        <v>0.4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s="2" t="inlineStr">
        <is>
          <t>Nattviol</t>
        </is>
      </c>
      <c r="W80">
        <f>HYPERLINK("https://klasma.github.io/Logging_0780/artfynd/A 64278-2023 artfynd.xlsx", "A 64278-2023")</f>
        <v/>
      </c>
      <c r="X80">
        <f>HYPERLINK("https://klasma.github.io/Logging_0780/kartor/A 64278-2023 karta.png", "A 64278-2023")</f>
        <v/>
      </c>
      <c r="Y80">
        <f>HYPERLINK("https://klasma.github.io/Logging_0780/kartor_geotiff/A 64278-2023 georefererad karta.tif", "A 64278-2023")</f>
        <v/>
      </c>
      <c r="AA80">
        <f>HYPERLINK("https://klasma.github.io/Logging_0780/klagomål/A 64278-2023 FSC-klagomål.docx", "A 64278-2023")</f>
        <v/>
      </c>
      <c r="AB80">
        <f>HYPERLINK("https://klasma.github.io/Logging_0780/klagomålsmail/A 64278-2023 FSC-klagomål mail.docx", "A 64278-2023")</f>
        <v/>
      </c>
      <c r="AC80">
        <f>HYPERLINK("https://klasma.github.io/Logging_0780/tillsyn/A 64278-2023 tillsynsbegäran.docx", "A 64278-2023")</f>
        <v/>
      </c>
      <c r="AD80">
        <f>HYPERLINK("https://klasma.github.io/Logging_0780/tillsynsmail/A 64278-2023 tillsynsbegäran mail.docx", "A 64278-2023")</f>
        <v/>
      </c>
    </row>
    <row r="81" ht="15" customHeight="1">
      <c r="A81" t="inlineStr">
        <is>
          <t>A 10820-2024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45369</v>
      </c>
      <c r="E81" s="1" t="n">
        <v>46314</v>
      </c>
      <c r="F81" t="inlineStr">
        <is>
          <t>KRONOBERGS LÄN</t>
        </is>
      </c>
      <c r="G81" t="inlineStr">
        <is>
          <t>VÄXJÖ</t>
        </is>
      </c>
      <c r="I81" t="n">
        <v>0.5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s="2" t="inlineStr">
        <is>
          <t>Grönsiska</t>
        </is>
      </c>
      <c r="W81">
        <f>HYPERLINK("https://klasma.github.io/Logging_0780/artfynd/A 10820-2024 artfynd.xlsx", "A 10820-2024")</f>
        <v/>
      </c>
      <c r="X81">
        <f>HYPERLINK("https://klasma.github.io/Logging_0780/kartor/A 10820-2024 karta.png", "A 10820-2024")</f>
        <v/>
      </c>
      <c r="Y81">
        <f>HYPERLINK("https://klasma.github.io/Logging_0780/kartor_geotiff/A 10820-2024 georefererad karta.tif", "A 10820-2024")</f>
        <v/>
      </c>
      <c r="AA81">
        <f>HYPERLINK("https://klasma.github.io/Logging_0780/klagomål/A 10820-2024 FSC-klagomål.docx", "A 10820-2024")</f>
        <v/>
      </c>
      <c r="AB81">
        <f>HYPERLINK("https://klasma.github.io/Logging_0780/klagomålsmail/A 10820-2024 FSC-klagomål mail.docx", "A 10820-2024")</f>
        <v/>
      </c>
      <c r="AC81">
        <f>HYPERLINK("https://klasma.github.io/Logging_0780/tillsyn/A 10820-2024 tillsynsbegäran.docx", "A 10820-2024")</f>
        <v/>
      </c>
      <c r="AD81">
        <f>HYPERLINK("https://klasma.github.io/Logging_0780/tillsynsmail/A 10820-2024 tillsynsbegäran mail.docx", "A 10820-2024")</f>
        <v/>
      </c>
    </row>
    <row r="82" ht="15" customHeight="1">
      <c r="A82" t="inlineStr">
        <is>
          <t>A 38271-2026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46281</v>
      </c>
      <c r="E82" s="1" t="n">
        <v>46314</v>
      </c>
      <c r="F82" t="inlineStr">
        <is>
          <t>KRONOBERGS LÄN</t>
        </is>
      </c>
      <c r="G82" t="inlineStr">
        <is>
          <t>VÄXJÖ</t>
        </is>
      </c>
      <c r="I82" t="n">
        <v>2.5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1</v>
      </c>
      <c r="T82" t="n">
        <v>1</v>
      </c>
      <c r="U82" t="n">
        <v>0</v>
      </c>
      <c r="V82" s="2" t="inlineStr">
        <is>
          <t>Skogsalm</t>
        </is>
      </c>
      <c r="W82">
        <f>HYPERLINK("https://klasma.github.io/Logging_0780/artfynd/A 38271-2026 artfynd.xlsx", "A 38271-2026")</f>
        <v/>
      </c>
      <c r="X82">
        <f>HYPERLINK("https://klasma.github.io/Logging_0780/kartor/A 38271-2026 karta.png", "A 38271-2026")</f>
        <v/>
      </c>
      <c r="Y82">
        <f>HYPERLINK("https://klasma.github.io/Logging_0780/kartor_geotiff/A 38271-2026 georefererad karta.tif", "A 38271-2026")</f>
        <v/>
      </c>
      <c r="AA82">
        <f>HYPERLINK("https://klasma.github.io/Logging_0780/klagomål/A 38271-2026 FSC-klagomål.docx", "A 38271-2026")</f>
        <v/>
      </c>
      <c r="AB82">
        <f>HYPERLINK("https://klasma.github.io/Logging_0780/klagomålsmail/A 38271-2026 FSC-klagomål mail.docx", "A 38271-2026")</f>
        <v/>
      </c>
      <c r="AC82">
        <f>HYPERLINK("https://klasma.github.io/Logging_0780/tillsyn/A 38271-2026 tillsynsbegäran.docx", "A 38271-2026")</f>
        <v/>
      </c>
      <c r="AD82">
        <f>HYPERLINK("https://klasma.github.io/Logging_0780/tillsynsmail/A 38271-2026 tillsynsbegäran mail.docx", "A 38271-2026")</f>
        <v/>
      </c>
    </row>
    <row r="83" ht="15" customHeight="1">
      <c r="A83" t="inlineStr">
        <is>
          <t>A 39334-2026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46288</v>
      </c>
      <c r="E83" s="1" t="n">
        <v>46314</v>
      </c>
      <c r="F83" t="inlineStr">
        <is>
          <t>KRONOBERGS LÄN</t>
        </is>
      </c>
      <c r="G83" t="inlineStr">
        <is>
          <t>VÄXJÖ</t>
        </is>
      </c>
      <c r="I83" t="n">
        <v>0.4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s="2" t="inlineStr">
        <is>
          <t>Blomkålssvamp</t>
        </is>
      </c>
      <c r="W83">
        <f>HYPERLINK("https://klasma.github.io/Logging_0780/artfynd/A 39334-2026 artfynd.xlsx", "A 39334-2026")</f>
        <v/>
      </c>
      <c r="X83">
        <f>HYPERLINK("https://klasma.github.io/Logging_0780/kartor/A 39334-2026 karta.png", "A 39334-2026")</f>
        <v/>
      </c>
      <c r="Y83">
        <f>HYPERLINK("https://klasma.github.io/Logging_0780/kartor_geotiff/A 39334-2026 georefererad karta.tif", "A 39334-2026")</f>
        <v/>
      </c>
      <c r="AA83">
        <f>HYPERLINK("https://klasma.github.io/Logging_0780/klagomål/A 39334-2026 FSC-klagomål.docx", "A 39334-2026")</f>
        <v/>
      </c>
      <c r="AB83">
        <f>HYPERLINK("https://klasma.github.io/Logging_0780/klagomålsmail/A 39334-2026 FSC-klagomål mail.docx", "A 39334-2026")</f>
        <v/>
      </c>
      <c r="AC83">
        <f>HYPERLINK("https://klasma.github.io/Logging_0780/tillsyn/A 39334-2026 tillsynsbegäran.docx", "A 39334-2026")</f>
        <v/>
      </c>
      <c r="AD83">
        <f>HYPERLINK("https://klasma.github.io/Logging_0780/tillsynsmail/A 39334-2026 tillsynsbegäran mail.docx", "A 39334-2026")</f>
        <v/>
      </c>
    </row>
    <row r="84" ht="15" customHeight="1">
      <c r="A84" t="inlineStr">
        <is>
          <t>A 33262-2026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46246</v>
      </c>
      <c r="E84" s="1" t="n">
        <v>46314</v>
      </c>
      <c r="F84" t="inlineStr">
        <is>
          <t>KRONOBERGS LÄN</t>
        </is>
      </c>
      <c r="G84" t="inlineStr">
        <is>
          <t>VÄXJÖ</t>
        </is>
      </c>
      <c r="I84" t="n">
        <v>0.6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2</v>
      </c>
      <c r="U84" t="n">
        <v>0</v>
      </c>
      <c r="V84" s="2" t="inlineStr">
        <is>
          <t>Sommarfibbla</t>
        </is>
      </c>
      <c r="W84">
        <f>HYPERLINK("https://klasma.github.io/Logging_0780/artfynd/A 33262-2026 artfynd.xlsx", "A 33262-2026")</f>
        <v/>
      </c>
      <c r="X84">
        <f>HYPERLINK("https://klasma.github.io/Logging_0780/kartor/A 33262-2026 karta.png", "A 33262-2026")</f>
        <v/>
      </c>
      <c r="Y84">
        <f>HYPERLINK("https://klasma.github.io/Logging_0780/kartor_geotiff/A 33262-2026 georefererad karta.tif", "A 33262-2026")</f>
        <v/>
      </c>
      <c r="AA84">
        <f>HYPERLINK("https://klasma.github.io/Logging_0780/klagomål/A 33262-2026 FSC-klagomål.docx", "A 33262-2026")</f>
        <v/>
      </c>
      <c r="AB84">
        <f>HYPERLINK("https://klasma.github.io/Logging_0780/klagomålsmail/A 33262-2026 FSC-klagomål mail.docx", "A 33262-2026")</f>
        <v/>
      </c>
      <c r="AC84">
        <f>HYPERLINK("https://klasma.github.io/Logging_0780/tillsyn/A 33262-2026 tillsynsbegäran.docx", "A 33262-2026")</f>
        <v/>
      </c>
      <c r="AD84">
        <f>HYPERLINK("https://klasma.github.io/Logging_0780/tillsynsmail/A 33262-2026 tillsynsbegäran mail.docx", "A 33262-2026")</f>
        <v/>
      </c>
    </row>
    <row r="85" ht="15" customHeight="1">
      <c r="A85" t="inlineStr">
        <is>
          <t>A 40679-2026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46296</v>
      </c>
      <c r="E85" s="1" t="n">
        <v>46314</v>
      </c>
      <c r="F85" t="inlineStr">
        <is>
          <t>KRONOBERGS LÄN</t>
        </is>
      </c>
      <c r="G85" t="inlineStr">
        <is>
          <t>VÄXJÖ</t>
        </is>
      </c>
      <c r="I85" t="n">
        <v>3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0</v>
      </c>
      <c r="V85" s="2" t="inlineStr">
        <is>
          <t>Svinrot</t>
        </is>
      </c>
      <c r="W85">
        <f>HYPERLINK("https://klasma.github.io/Logging_0780/artfynd/A 40679-2026 artfynd.xlsx", "A 40679-2026")</f>
        <v/>
      </c>
      <c r="X85">
        <f>HYPERLINK("https://klasma.github.io/Logging_0780/kartor/A 40679-2026 karta.png", "A 40679-2026")</f>
        <v/>
      </c>
      <c r="Y85">
        <f>HYPERLINK("https://klasma.github.io/Logging_0780/kartor_geotiff/A 40679-2026 georefererad karta.tif", "A 40679-2026")</f>
        <v/>
      </c>
      <c r="AA85">
        <f>HYPERLINK("https://klasma.github.io/Logging_0780/klagomål/A 40679-2026 FSC-klagomål.docx", "A 40679-2026")</f>
        <v/>
      </c>
      <c r="AB85">
        <f>HYPERLINK("https://klasma.github.io/Logging_0780/klagomålsmail/A 40679-2026 FSC-klagomål mail.docx", "A 40679-2026")</f>
        <v/>
      </c>
      <c r="AC85">
        <f>HYPERLINK("https://klasma.github.io/Logging_0780/tillsyn/A 40679-2026 tillsynsbegäran.docx", "A 40679-2026")</f>
        <v/>
      </c>
      <c r="AD85">
        <f>HYPERLINK("https://klasma.github.io/Logging_0780/tillsynsmail/A 40679-2026 tillsynsbegäran mail.docx", "A 40679-2026")</f>
        <v/>
      </c>
    </row>
    <row r="86" ht="15" customHeight="1">
      <c r="A86" t="inlineStr">
        <is>
          <t>A 56864-2022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44894</v>
      </c>
      <c r="E86" s="1" t="n">
        <v>46314</v>
      </c>
      <c r="F86" t="inlineStr">
        <is>
          <t>KRONOBERGS LÄN</t>
        </is>
      </c>
      <c r="G86" t="inlineStr">
        <is>
          <t>VÄXJÖ</t>
        </is>
      </c>
      <c r="I86" t="n">
        <v>8.699999999999999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1</v>
      </c>
      <c r="U86" t="n">
        <v>1</v>
      </c>
      <c r="V86" s="2" t="inlineStr">
        <is>
          <t>Ladusvala</t>
        </is>
      </c>
      <c r="W86">
        <f>HYPERLINK("https://klasma.github.io/Logging_0780/artfynd/A 56864-2022 artfynd.xlsx", "A 56864-2022")</f>
        <v/>
      </c>
      <c r="X86">
        <f>HYPERLINK("https://klasma.github.io/Logging_0780/kartor/A 56864-2022 karta.png", "A 56864-2022")</f>
        <v/>
      </c>
      <c r="Y86">
        <f>HYPERLINK("https://klasma.github.io/Logging_0780/kartor_geotiff/A 56864-2022 georefererad karta.tif", "A 56864-2022")</f>
        <v/>
      </c>
      <c r="AA86">
        <f>HYPERLINK("https://klasma.github.io/Logging_0780/klagomål/A 56864-2022 FSC-klagomål.docx", "A 56864-2022")</f>
        <v/>
      </c>
      <c r="AB86">
        <f>HYPERLINK("https://klasma.github.io/Logging_0780/klagomålsmail/A 56864-2022 FSC-klagomål mail.docx", "A 56864-2022")</f>
        <v/>
      </c>
      <c r="AC86">
        <f>HYPERLINK("https://klasma.github.io/Logging_0780/tillsyn/A 56864-2022 tillsynsbegäran.docx", "A 56864-2022")</f>
        <v/>
      </c>
      <c r="AD86">
        <f>HYPERLINK("https://klasma.github.io/Logging_0780/tillsynsmail/A 56864-2022 tillsynsbegäran mail.docx", "A 56864-2022")</f>
        <v/>
      </c>
    </row>
    <row r="87" ht="15" customHeight="1">
      <c r="A87" t="inlineStr">
        <is>
          <t>A 41857-2026</t>
        </is>
      </c>
      <c r="B87" t="inlineStr">
        <is>
          <t>avverkningsanmälan</t>
        </is>
      </c>
      <c r="C87" t="inlineStr">
        <is>
          <t>Avverkning för annat ändamål</t>
        </is>
      </c>
      <c r="D87" s="1" t="n">
        <v>46303</v>
      </c>
      <c r="E87" s="1" t="n">
        <v>46314</v>
      </c>
      <c r="F87" t="inlineStr">
        <is>
          <t>KRONOBERGS LÄN</t>
        </is>
      </c>
      <c r="G87" t="inlineStr">
        <is>
          <t>VÄXJÖ</t>
        </is>
      </c>
      <c r="I87" t="n">
        <v>8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s="2" t="inlineStr">
        <is>
          <t>Mattlummer</t>
        </is>
      </c>
      <c r="W87">
        <f>HYPERLINK("https://klasma.github.io/Logging_0780/artfynd/A 41857-2026 artfynd.xlsx", "A 41857-2026")</f>
        <v/>
      </c>
      <c r="X87">
        <f>HYPERLINK("https://klasma.github.io/Logging_0780/kartor/A 41857-2026 karta.png", "A 41857-2026")</f>
        <v/>
      </c>
      <c r="Y87">
        <f>HYPERLINK("https://klasma.github.io/Logging_0780/kartor_geotiff/A 41857-2026 georefererad karta.tif", "A 41857-2026")</f>
        <v/>
      </c>
      <c r="AA87">
        <f>HYPERLINK("https://klasma.github.io/Logging_0780/klagomål/A 41857-2026 FSC-klagomål.docx", "A 41857-2026")</f>
        <v/>
      </c>
      <c r="AB87">
        <f>HYPERLINK("https://klasma.github.io/Logging_0780/klagomålsmail/A 41857-2026 FSC-klagomål mail.docx", "A 41857-2026")</f>
        <v/>
      </c>
      <c r="AC87">
        <f>HYPERLINK("https://klasma.github.io/Logging_0780/tillsyn/A 41857-2026 tillsynsbegäran.docx", "A 41857-2026")</f>
        <v/>
      </c>
      <c r="AD87">
        <f>HYPERLINK("https://klasma.github.io/Logging_0780/tillsynsmail/A 41857-2026 tillsynsbegäran mail.docx", "A 41857-2026")</f>
        <v/>
      </c>
    </row>
    <row r="88" ht="15" customHeight="1">
      <c r="A88" t="inlineStr">
        <is>
          <t>A 54410-2024</t>
        </is>
      </c>
      <c r="B88" t="inlineStr">
        <is>
          <t>avverkningsanmälan</t>
        </is>
      </c>
      <c r="C88" t="inlineStr">
        <is>
          <t>Avverkning för annat ändamål</t>
        </is>
      </c>
      <c r="D88" s="1" t="n">
        <v>45617</v>
      </c>
      <c r="E88" s="1" t="n">
        <v>46314</v>
      </c>
      <c r="F88" t="inlineStr">
        <is>
          <t>KRONOBERGS LÄN</t>
        </is>
      </c>
      <c r="G88" t="inlineStr">
        <is>
          <t>VÄXJÖ</t>
        </is>
      </c>
      <c r="H88" t="inlineStr">
        <is>
          <t>Kommuner</t>
        </is>
      </c>
      <c r="I88" t="n">
        <v>7.2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s="2" t="inlineStr">
        <is>
          <t>Vanlig groda</t>
        </is>
      </c>
      <c r="W88">
        <f>HYPERLINK("https://klasma.github.io/Logging_0780/artfynd/A 54410-2024 artfynd.xlsx", "A 54410-2024")</f>
        <v/>
      </c>
      <c r="X88">
        <f>HYPERLINK("https://klasma.github.io/Logging_0780/kartor/A 54410-2024 karta.png", "A 54410-2024")</f>
        <v/>
      </c>
      <c r="Y88">
        <f>HYPERLINK("https://klasma.github.io/Logging_0780/kartor_geotiff/A 54410-2024 georefererad karta.tif", "A 54410-2024")</f>
        <v/>
      </c>
      <c r="AA88">
        <f>HYPERLINK("https://klasma.github.io/Logging_0780/klagomål/A 54410-2024 FSC-klagomål.docx", "A 54410-2024")</f>
        <v/>
      </c>
      <c r="AB88">
        <f>HYPERLINK("https://klasma.github.io/Logging_0780/klagomålsmail/A 54410-2024 FSC-klagomål mail.docx", "A 54410-2024")</f>
        <v/>
      </c>
      <c r="AC88">
        <f>HYPERLINK("https://klasma.github.io/Logging_0780/tillsyn/A 54410-2024 tillsynsbegäran.docx", "A 54410-2024")</f>
        <v/>
      </c>
      <c r="AD88">
        <f>HYPERLINK("https://klasma.github.io/Logging_0780/tillsynsmail/A 54410-2024 tillsynsbegäran mail.docx", "A 54410-2024")</f>
        <v/>
      </c>
    </row>
    <row r="89" ht="15" customHeight="1">
      <c r="A89" t="inlineStr">
        <is>
          <t>A 51647-2024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45606</v>
      </c>
      <c r="E89" s="1" t="n">
        <v>46314</v>
      </c>
      <c r="F89" t="inlineStr">
        <is>
          <t>KRONOBERGS LÄN</t>
        </is>
      </c>
      <c r="G89" t="inlineStr">
        <is>
          <t>VÄXJÖ</t>
        </is>
      </c>
      <c r="I89" t="n">
        <v>0.9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1</v>
      </c>
      <c r="V89" s="2" t="inlineStr">
        <is>
          <t>Granspira</t>
        </is>
      </c>
      <c r="W89">
        <f>HYPERLINK("https://klasma.github.io/Logging_0780/artfynd/A 51647-2024 artfynd.xlsx", "A 51647-2024")</f>
        <v/>
      </c>
      <c r="X89">
        <f>HYPERLINK("https://klasma.github.io/Logging_0780/kartor/A 51647-2024 karta.png", "A 51647-2024")</f>
        <v/>
      </c>
      <c r="Y89">
        <f>HYPERLINK("https://klasma.github.io/Logging_0780/kartor_geotiff/A 51647-2024 georefererad karta.tif", "A 51647-2024")</f>
        <v/>
      </c>
      <c r="AA89">
        <f>HYPERLINK("https://klasma.github.io/Logging_0780/klagomål/A 51647-2024 FSC-klagomål.docx", "A 51647-2024")</f>
        <v/>
      </c>
      <c r="AB89">
        <f>HYPERLINK("https://klasma.github.io/Logging_0780/klagomålsmail/A 51647-2024 FSC-klagomål mail.docx", "A 51647-2024")</f>
        <v/>
      </c>
      <c r="AC89">
        <f>HYPERLINK("https://klasma.github.io/Logging_0780/tillsyn/A 51647-2024 tillsynsbegäran.docx", "A 51647-2024")</f>
        <v/>
      </c>
      <c r="AD89">
        <f>HYPERLINK("https://klasma.github.io/Logging_0780/tillsynsmail/A 51647-2024 tillsynsbegäran mail.docx", "A 51647-2024")</f>
        <v/>
      </c>
    </row>
    <row r="90" ht="15" customHeight="1">
      <c r="A90" t="inlineStr">
        <is>
          <t>S 1432-2022</t>
        </is>
      </c>
      <c r="B90" t="inlineStr">
        <is>
          <t>samrådsanmälan</t>
        </is>
      </c>
      <c r="C90" t="inlineStr">
        <is>
          <t>Askåterföring</t>
        </is>
      </c>
      <c r="D90" s="1" t="n">
        <v>44634</v>
      </c>
      <c r="E90" s="1" t="n">
        <v>46314</v>
      </c>
      <c r="F90" t="inlineStr">
        <is>
          <t>KRONOBERGS LÄN</t>
        </is>
      </c>
      <c r="G90" t="inlineStr">
        <is>
          <t>VÄXJÖ</t>
        </is>
      </c>
      <c r="I90" t="n">
        <v>41.7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s="2" t="inlineStr">
        <is>
          <t>Västlig hakmossa</t>
        </is>
      </c>
      <c r="W90">
        <f>HYPERLINK("https://klasma.github.io/Logging_0780/artfynd/S 1432-2022 artfynd.xlsx", "S 1432-2022")</f>
        <v/>
      </c>
      <c r="X90">
        <f>HYPERLINK("https://klasma.github.io/Logging_0780/kartor/S 1432-2022 karta.png", "S 1432-2022")</f>
        <v/>
      </c>
      <c r="Y90">
        <f>HYPERLINK("https://klasma.github.io/Logging_0780/kartor_geotiff/S 1432-2022 georefererad karta.tif", "S 1432-2022")</f>
        <v/>
      </c>
      <c r="AA90">
        <f>HYPERLINK("https://klasma.github.io/Logging_0780/klagomål/S 1432-2022 FSC-klagomål.docx", "S 1432-2022")</f>
        <v/>
      </c>
      <c r="AB90">
        <f>HYPERLINK("https://klasma.github.io/Logging_0780/klagomålsmail/S 1432-2022 FSC-klagomål mail.docx", "S 1432-2022")</f>
        <v/>
      </c>
      <c r="AC90">
        <f>HYPERLINK("https://klasma.github.io/Logging_0780/tillsyn/S 1432-2022 tillsynsbegäran.docx", "S 1432-2022")</f>
        <v/>
      </c>
      <c r="AD90">
        <f>HYPERLINK("https://klasma.github.io/Logging_0780/tillsynsmail/S 1432-2022 tillsynsbegäran mail.docx", "S 1432-2022")</f>
        <v/>
      </c>
    </row>
    <row r="91" ht="15" customHeight="1">
      <c r="A91" t="inlineStr">
        <is>
          <t>S 2935-2022</t>
        </is>
      </c>
      <c r="B91" t="inlineStr">
        <is>
          <t>samrådsanmälan</t>
        </is>
      </c>
      <c r="C91" t="inlineStr">
        <is>
          <t>Askåterföring</t>
        </is>
      </c>
      <c r="D91" s="1" t="n">
        <v>44712</v>
      </c>
      <c r="E91" s="1" t="n">
        <v>46314</v>
      </c>
      <c r="F91" t="inlineStr">
        <is>
          <t>KRONOBERGS LÄN</t>
        </is>
      </c>
      <c r="G91" t="inlineStr">
        <is>
          <t>VÄXJÖ</t>
        </is>
      </c>
      <c r="I91" t="n">
        <v>40.4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s="2" t="inlineStr">
        <is>
          <t>Rostfläck</t>
        </is>
      </c>
      <c r="W91">
        <f>HYPERLINK("https://klasma.github.io/Logging_0780/artfynd/S 2935-2022 artfynd.xlsx", "S 2935-2022")</f>
        <v/>
      </c>
      <c r="X91">
        <f>HYPERLINK("https://klasma.github.io/Logging_0780/kartor/S 2935-2022 karta.png", "S 2935-2022")</f>
        <v/>
      </c>
      <c r="Y91">
        <f>HYPERLINK("https://klasma.github.io/Logging_0780/kartor_geotiff/S 2935-2022 georefererad karta.tif", "S 2935-2022")</f>
        <v/>
      </c>
      <c r="AA91">
        <f>HYPERLINK("https://klasma.github.io/Logging_0780/klagomål/S 2935-2022 FSC-klagomål.docx", "S 2935-2022")</f>
        <v/>
      </c>
      <c r="AB91">
        <f>HYPERLINK("https://klasma.github.io/Logging_0780/klagomålsmail/S 2935-2022 FSC-klagomål mail.docx", "S 2935-2022")</f>
        <v/>
      </c>
      <c r="AC91">
        <f>HYPERLINK("https://klasma.github.io/Logging_0780/tillsyn/S 2935-2022 tillsynsbegäran.docx", "S 2935-2022")</f>
        <v/>
      </c>
      <c r="AD91">
        <f>HYPERLINK("https://klasma.github.io/Logging_0780/tillsynsmail/S 2935-2022 tillsynsbegäran mail.docx", "S 2935-2022")</f>
        <v/>
      </c>
    </row>
    <row r="92" ht="15" customHeight="1">
      <c r="A92" t="inlineStr">
        <is>
          <t>S 218-2023</t>
        </is>
      </c>
      <c r="B92" t="inlineStr">
        <is>
          <t>samrådsanmälan</t>
        </is>
      </c>
      <c r="C92" t="inlineStr">
        <is>
          <t>Annan skogsbruksåtgärd</t>
        </is>
      </c>
      <c r="D92" s="1" t="n">
        <v>44950</v>
      </c>
      <c r="E92" s="1" t="n">
        <v>46314</v>
      </c>
      <c r="F92" t="inlineStr">
        <is>
          <t>KRONOBERGS LÄN</t>
        </is>
      </c>
      <c r="G92" t="inlineStr">
        <is>
          <t>VÄXJÖ</t>
        </is>
      </c>
      <c r="I92" t="n">
        <v>2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1</v>
      </c>
      <c r="U92" t="n">
        <v>0</v>
      </c>
      <c r="V92" s="2" t="inlineStr">
        <is>
          <t>Sydlig kantmusseron</t>
        </is>
      </c>
      <c r="W92">
        <f>HYPERLINK("https://klasma.github.io/Logging_0780/artfynd/S 218-2023 artfynd.xlsx", "S 218-2023")</f>
        <v/>
      </c>
      <c r="X92">
        <f>HYPERLINK("https://klasma.github.io/Logging_0780/kartor/S 218-2023 karta.png", "S 218-2023")</f>
        <v/>
      </c>
      <c r="Y92">
        <f>HYPERLINK("https://klasma.github.io/Logging_0780/kartor_geotiff/S 218-2023 georefererad karta.tif", "S 218-2023")</f>
        <v/>
      </c>
      <c r="AA92">
        <f>HYPERLINK("https://klasma.github.io/Logging_0780/klagomål/S 218-2023 FSC-klagomål.docx", "S 218-2023")</f>
        <v/>
      </c>
      <c r="AB92">
        <f>HYPERLINK("https://klasma.github.io/Logging_0780/klagomålsmail/S 218-2023 FSC-klagomål mail.docx", "S 218-2023")</f>
        <v/>
      </c>
      <c r="AC92">
        <f>HYPERLINK("https://klasma.github.io/Logging_0780/tillsyn/S 218-2023 tillsynsbegäran.docx", "S 218-2023")</f>
        <v/>
      </c>
      <c r="AD92">
        <f>HYPERLINK("https://klasma.github.io/Logging_0780/tillsynsmail/S 218-2023 tillsynsbegäran mail.docx", "S 218-2023")</f>
        <v/>
      </c>
    </row>
    <row r="93" ht="15" customHeight="1">
      <c r="A93" t="inlineStr">
        <is>
          <t>S 1793-2024</t>
        </is>
      </c>
      <c r="B93" t="inlineStr">
        <is>
          <t>samrådsanmälan</t>
        </is>
      </c>
      <c r="C93" t="inlineStr">
        <is>
          <t>Askåterföring</t>
        </is>
      </c>
      <c r="D93" s="1" t="n">
        <v>45436</v>
      </c>
      <c r="E93" s="1" t="n">
        <v>46314</v>
      </c>
      <c r="F93" t="inlineStr">
        <is>
          <t>KRONOBERGS LÄN</t>
        </is>
      </c>
      <c r="G93" t="inlineStr">
        <is>
          <t>VÄXJÖ</t>
        </is>
      </c>
      <c r="I93" t="n">
        <v>18.3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1</v>
      </c>
      <c r="U93" t="n">
        <v>1</v>
      </c>
      <c r="V93" s="2" t="inlineStr">
        <is>
          <t>Linmåra/småsnärjmåra</t>
        </is>
      </c>
      <c r="W93">
        <f>HYPERLINK("https://klasma.github.io/Logging_0780/artfynd/S 1793-2024 artfynd.xlsx", "S 1793-2024")</f>
        <v/>
      </c>
      <c r="X93">
        <f>HYPERLINK("https://klasma.github.io/Logging_0780/kartor/S 1793-2024 karta.png", "S 1793-2024")</f>
        <v/>
      </c>
      <c r="Y93">
        <f>HYPERLINK("https://klasma.github.io/Logging_0780/kartor_geotiff/S 1793-2024 georefererad karta.tif", "S 1793-2024")</f>
        <v/>
      </c>
      <c r="AA93">
        <f>HYPERLINK("https://klasma.github.io/Logging_0780/klagomål/S 1793-2024 FSC-klagomål.docx", "S 1793-2024")</f>
        <v/>
      </c>
      <c r="AB93">
        <f>HYPERLINK("https://klasma.github.io/Logging_0780/klagomålsmail/S 1793-2024 FSC-klagomål mail.docx", "S 1793-2024")</f>
        <v/>
      </c>
      <c r="AC93">
        <f>HYPERLINK("https://klasma.github.io/Logging_0780/tillsyn/S 1793-2024 tillsynsbegäran.docx", "S 1793-2024")</f>
        <v/>
      </c>
      <c r="AD93">
        <f>HYPERLINK("https://klasma.github.io/Logging_0780/tillsynsmail/S 1793-2024 tillsynsbegäran mail.docx", "S 1793-2024")</f>
        <v/>
      </c>
    </row>
    <row r="94" ht="15" customHeight="1">
      <c r="A94" t="inlineStr">
        <is>
          <t>S 754-2025</t>
        </is>
      </c>
      <c r="B94" t="inlineStr">
        <is>
          <t>samrådsanmälan</t>
        </is>
      </c>
      <c r="C94" t="inlineStr">
        <is>
          <t>Askåterföring</t>
        </is>
      </c>
      <c r="D94" s="1" t="n">
        <v>45726</v>
      </c>
      <c r="E94" s="1" t="n">
        <v>46314</v>
      </c>
      <c r="F94" t="inlineStr">
        <is>
          <t>KRONOBERGS LÄN</t>
        </is>
      </c>
      <c r="G94" t="inlineStr">
        <is>
          <t>VÄXJÖ</t>
        </is>
      </c>
      <c r="I94" t="n">
        <v>61.4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s="2" t="inlineStr">
        <is>
          <t>Gullviva</t>
        </is>
      </c>
      <c r="W94">
        <f>HYPERLINK("https://klasma.github.io/Logging_0780/artfynd/S 754-2025 artfynd.xlsx", "S 754-2025")</f>
        <v/>
      </c>
      <c r="X94">
        <f>HYPERLINK("https://klasma.github.io/Logging_0780/kartor/S 754-2025 karta.png", "S 754-2025")</f>
        <v/>
      </c>
      <c r="Y94">
        <f>HYPERLINK("https://klasma.github.io/Logging_0780/kartor_geotiff/S 754-2025 georefererad karta.tif", "S 754-2025")</f>
        <v/>
      </c>
      <c r="AA94">
        <f>HYPERLINK("https://klasma.github.io/Logging_0780/klagomål/S 754-2025 FSC-klagomål.docx", "S 754-2025")</f>
        <v/>
      </c>
      <c r="AB94">
        <f>HYPERLINK("https://klasma.github.io/Logging_0780/klagomålsmail/S 754-2025 FSC-klagomål mail.docx", "S 754-2025")</f>
        <v/>
      </c>
      <c r="AC94">
        <f>HYPERLINK("https://klasma.github.io/Logging_0780/tillsyn/S 754-2025 tillsynsbegäran.docx", "S 754-2025")</f>
        <v/>
      </c>
      <c r="AD94">
        <f>HYPERLINK("https://klasma.github.io/Logging_0780/tillsynsmail/S 754-2025 tillsynsbegäran mail.docx", "S 754-2025")</f>
        <v/>
      </c>
    </row>
    <row r="95" ht="15" customHeight="1">
      <c r="A95" t="inlineStr">
        <is>
          <t>S 1709-2025</t>
        </is>
      </c>
      <c r="B95" t="inlineStr">
        <is>
          <t>samrådsanmälan</t>
        </is>
      </c>
      <c r="C95" t="inlineStr">
        <is>
          <t>Askåterföring</t>
        </is>
      </c>
      <c r="D95" s="1" t="n">
        <v>45805</v>
      </c>
      <c r="E95" s="1" t="n">
        <v>46314</v>
      </c>
      <c r="F95" t="inlineStr">
        <is>
          <t>KRONOBERGS LÄN</t>
        </is>
      </c>
      <c r="G95" t="inlineStr">
        <is>
          <t>VÄXJÖ</t>
        </is>
      </c>
      <c r="I95" t="n">
        <v>11.7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s="2" t="inlineStr">
        <is>
          <t>Plattlummer</t>
        </is>
      </c>
      <c r="W95">
        <f>HYPERLINK("https://klasma.github.io/Logging_0780/artfynd/S 1709-2025 artfynd.xlsx", "S 1709-2025")</f>
        <v/>
      </c>
      <c r="X95">
        <f>HYPERLINK("https://klasma.github.io/Logging_0780/kartor/S 1709-2025 karta.png", "S 1709-2025")</f>
        <v/>
      </c>
      <c r="Y95">
        <f>HYPERLINK("https://klasma.github.io/Logging_0780/kartor_geotiff/S 1709-2025 georefererad karta.tif", "S 1709-2025")</f>
        <v/>
      </c>
      <c r="AA95">
        <f>HYPERLINK("https://klasma.github.io/Logging_0780/klagomål/S 1709-2025 FSC-klagomål.docx", "S 1709-2025")</f>
        <v/>
      </c>
      <c r="AB95">
        <f>HYPERLINK("https://klasma.github.io/Logging_0780/klagomålsmail/S 1709-2025 FSC-klagomål mail.docx", "S 1709-2025")</f>
        <v/>
      </c>
      <c r="AC95">
        <f>HYPERLINK("https://klasma.github.io/Logging_0780/tillsyn/S 1709-2025 tillsynsbegäran.docx", "S 1709-2025")</f>
        <v/>
      </c>
      <c r="AD95">
        <f>HYPERLINK("https://klasma.github.io/Logging_0780/tillsynsmail/S 1709-2025 tillsynsbegäran mail.docx", "S 1709-2025")</f>
        <v/>
      </c>
    </row>
    <row r="96" ht="15" customHeight="1">
      <c r="A96" t="inlineStr">
        <is>
          <t>S 2832-2025</t>
        </is>
      </c>
      <c r="B96" t="inlineStr">
        <is>
          <t>samrådsanmälan</t>
        </is>
      </c>
      <c r="C96" t="inlineStr">
        <is>
          <t>Annan skogsbruksåtgärd</t>
        </is>
      </c>
      <c r="D96" s="1" t="n">
        <v>45939</v>
      </c>
      <c r="E96" s="1" t="n">
        <v>46314</v>
      </c>
      <c r="F96" t="inlineStr">
        <is>
          <t>KRONOBERGS LÄN</t>
        </is>
      </c>
      <c r="G96" t="inlineStr">
        <is>
          <t>VÄXJÖ</t>
        </is>
      </c>
      <c r="I96" t="n">
        <v>0.1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s="2" t="inlineStr">
        <is>
          <t>Havsörn</t>
        </is>
      </c>
      <c r="W96">
        <f>HYPERLINK("https://klasma.github.io/Logging_0780/artfynd/S 2832-2025 artfynd.xlsx", "S 2832-2025")</f>
        <v/>
      </c>
      <c r="X96">
        <f>HYPERLINK("https://klasma.github.io/Logging_0780/kartor/S 2832-2025 karta.png", "S 2832-2025")</f>
        <v/>
      </c>
      <c r="Y96">
        <f>HYPERLINK("https://klasma.github.io/Logging_0780/kartor_geotiff/S 2832-2025 georefererad karta.tif", "S 2832-2025")</f>
        <v/>
      </c>
      <c r="AA96">
        <f>HYPERLINK("https://klasma.github.io/Logging_0780/klagomål/S 2832-2025 FSC-klagomål.docx", "S 2832-2025")</f>
        <v/>
      </c>
      <c r="AB96">
        <f>HYPERLINK("https://klasma.github.io/Logging_0780/klagomålsmail/S 2832-2025 FSC-klagomål mail.docx", "S 2832-2025")</f>
        <v/>
      </c>
      <c r="AC96">
        <f>HYPERLINK("https://klasma.github.io/Logging_0780/tillsyn/S 2832-2025 tillsynsbegäran.docx", "S 2832-2025")</f>
        <v/>
      </c>
      <c r="AD96">
        <f>HYPERLINK("https://klasma.github.io/Logging_0780/tillsynsmail/S 2832-2025 tillsynsbegäran mail.docx", "S 2832-2025")</f>
        <v/>
      </c>
      <c r="AE96">
        <f>HYPERLINK("https://klasma.github.io/Logging_0780/fåglar/S 2832-2025 prioriterade fågelarter.docx", "S 2832-2025")</f>
        <v/>
      </c>
    </row>
    <row r="97" ht="15" customHeight="1">
      <c r="A97" t="inlineStr">
        <is>
          <t>S 811-2026</t>
        </is>
      </c>
      <c r="B97" t="inlineStr">
        <is>
          <t>samrådsanmälan</t>
        </is>
      </c>
      <c r="C97" t="inlineStr">
        <is>
          <t>Skogsgödsling</t>
        </is>
      </c>
      <c r="D97" s="1" t="n">
        <v>46100</v>
      </c>
      <c r="E97" s="1" t="n">
        <v>46314</v>
      </c>
      <c r="F97" t="inlineStr">
        <is>
          <t>KRONOBERGS LÄN</t>
        </is>
      </c>
      <c r="G97" t="inlineStr">
        <is>
          <t>VÄXJÖ</t>
        </is>
      </c>
      <c r="I97" t="n">
        <v>40.8</v>
      </c>
      <c r="J97" t="n">
        <v>1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1</v>
      </c>
      <c r="U97" t="n">
        <v>0</v>
      </c>
      <c r="V97" s="2" t="inlineStr">
        <is>
          <t>Nordfladdermus</t>
        </is>
      </c>
      <c r="W97">
        <f>HYPERLINK("https://klasma.github.io/Logging_0780/artfynd/S 811-2026 artfynd.xlsx", "S 811-2026")</f>
        <v/>
      </c>
      <c r="X97">
        <f>HYPERLINK("https://klasma.github.io/Logging_0780/kartor/S 811-2026 karta.png", "S 811-2026")</f>
        <v/>
      </c>
      <c r="Y97">
        <f>HYPERLINK("https://klasma.github.io/Logging_0780/kartor_geotiff/S 811-2026 georefererad karta.tif", "S 811-2026")</f>
        <v/>
      </c>
      <c r="AA97">
        <f>HYPERLINK("https://klasma.github.io/Logging_0780/klagomål/S 811-2026 FSC-klagomål.docx", "S 811-2026")</f>
        <v/>
      </c>
      <c r="AB97">
        <f>HYPERLINK("https://klasma.github.io/Logging_0780/klagomålsmail/S 811-2026 FSC-klagomål mail.docx", "S 811-2026")</f>
        <v/>
      </c>
      <c r="AC97">
        <f>HYPERLINK("https://klasma.github.io/Logging_0780/tillsyn/S 811-2026 tillsynsbegäran.docx", "S 811-2026")</f>
        <v/>
      </c>
      <c r="AD97">
        <f>HYPERLINK("https://klasma.github.io/Logging_0780/tillsynsmail/S 811-2026 tillsynsbegäran mail.docx", "S 811-2026")</f>
        <v/>
      </c>
    </row>
    <row r="98" ht="15" customHeight="1">
      <c r="A98" t="inlineStr">
        <is>
          <t>A 19472-2022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44693</v>
      </c>
      <c r="E98" s="1" t="n">
        <v>46314</v>
      </c>
      <c r="F98" t="inlineStr">
        <is>
          <t>KRONOBERGS LÄN</t>
        </is>
      </c>
      <c r="G98" t="inlineStr">
        <is>
          <t>VÄXJÖ</t>
        </is>
      </c>
      <c r="I98" t="n">
        <v>0.7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38397-2022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44812</v>
      </c>
      <c r="E99" s="1" t="n">
        <v>46314</v>
      </c>
      <c r="F99" t="inlineStr">
        <is>
          <t>KRONOBERGS LÄN</t>
        </is>
      </c>
      <c r="G99" t="inlineStr">
        <is>
          <t>VÄXJÖ</t>
        </is>
      </c>
      <c r="I99" t="n">
        <v>1.2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66328-2021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44518</v>
      </c>
      <c r="E100" s="1" t="n">
        <v>46314</v>
      </c>
      <c r="F100" t="inlineStr">
        <is>
          <t>KRONOBERGS LÄN</t>
        </is>
      </c>
      <c r="G100" t="inlineStr">
        <is>
          <t>VÄXJÖ</t>
        </is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70395-2021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44536</v>
      </c>
      <c r="E101" s="1" t="n">
        <v>46314</v>
      </c>
      <c r="F101" t="inlineStr">
        <is>
          <t>KRONOBERGS LÄN</t>
        </is>
      </c>
      <c r="G101" t="inlineStr">
        <is>
          <t>VÄXJÖ</t>
        </is>
      </c>
      <c r="I101" t="n">
        <v>0.4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30757-2022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44764</v>
      </c>
      <c r="E102" s="1" t="n">
        <v>46314</v>
      </c>
      <c r="F102" t="inlineStr">
        <is>
          <t>KRONOBERGS LÄN</t>
        </is>
      </c>
      <c r="G102" t="inlineStr">
        <is>
          <t>VÄXJÖ</t>
        </is>
      </c>
      <c r="I102" t="n">
        <v>0.5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66677-2021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44519</v>
      </c>
      <c r="E103" s="1" t="n">
        <v>46314</v>
      </c>
      <c r="F103" t="inlineStr">
        <is>
          <t>KRONOBERGS LÄN</t>
        </is>
      </c>
      <c r="G103" t="inlineStr">
        <is>
          <t>VÄXJÖ</t>
        </is>
      </c>
      <c r="I103" t="n">
        <v>0.8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60357-2021</t>
        </is>
      </c>
      <c r="B104" t="inlineStr">
        <is>
          <t>avverkningsanmälan</t>
        </is>
      </c>
      <c r="C104" t="inlineStr">
        <is>
          <t>Avverkning för annat ändamål</t>
        </is>
      </c>
      <c r="D104" s="1" t="n">
        <v>44501</v>
      </c>
      <c r="E104" s="1" t="n">
        <v>46314</v>
      </c>
      <c r="F104" t="inlineStr">
        <is>
          <t>KRONOBERGS LÄN</t>
        </is>
      </c>
      <c r="G104" t="inlineStr">
        <is>
          <t>VÄXJÖ</t>
        </is>
      </c>
      <c r="I104" t="n">
        <v>0.7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38691-2022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44814</v>
      </c>
      <c r="E105" s="1" t="n">
        <v>46314</v>
      </c>
      <c r="F105" t="inlineStr">
        <is>
          <t>KRONOBERGS LÄN</t>
        </is>
      </c>
      <c r="G105" t="inlineStr">
        <is>
          <t>VÄXJÖ</t>
        </is>
      </c>
      <c r="I105" t="n">
        <v>1.2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13379-2022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44645</v>
      </c>
      <c r="E106" s="1" t="n">
        <v>46314</v>
      </c>
      <c r="F106" t="inlineStr">
        <is>
          <t>KRONOBERGS LÄN</t>
        </is>
      </c>
      <c r="G106" t="inlineStr">
        <is>
          <t>VÄXJÖ</t>
        </is>
      </c>
      <c r="I106" t="n">
        <v>0.5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13033-2022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44643</v>
      </c>
      <c r="E107" s="1" t="n">
        <v>46314</v>
      </c>
      <c r="F107" t="inlineStr">
        <is>
          <t>KRONOBERGS LÄN</t>
        </is>
      </c>
      <c r="G107" t="inlineStr">
        <is>
          <t>VÄXJÖ</t>
        </is>
      </c>
      <c r="I107" t="n">
        <v>0.5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65204-2021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44515</v>
      </c>
      <c r="E108" s="1" t="n">
        <v>46314</v>
      </c>
      <c r="F108" t="inlineStr">
        <is>
          <t>KRONOBERGS LÄN</t>
        </is>
      </c>
      <c r="G108" t="inlineStr">
        <is>
          <t>VÄXJÖ</t>
        </is>
      </c>
      <c r="I108" t="n">
        <v>0.7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38687-2022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44814</v>
      </c>
      <c r="E109" s="1" t="n">
        <v>46314</v>
      </c>
      <c r="F109" t="inlineStr">
        <is>
          <t>KRONOBERGS LÄN</t>
        </is>
      </c>
      <c r="G109" t="inlineStr">
        <is>
          <t>VÄXJÖ</t>
        </is>
      </c>
      <c r="I109" t="n">
        <v>0.4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68062-2021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44525</v>
      </c>
      <c r="E110" s="1" t="n">
        <v>46314</v>
      </c>
      <c r="F110" t="inlineStr">
        <is>
          <t>KRONOBERGS LÄN</t>
        </is>
      </c>
      <c r="G110" t="inlineStr">
        <is>
          <t>VÄXJÖ</t>
        </is>
      </c>
      <c r="I110" t="n">
        <v>1.5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2212-2022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44578</v>
      </c>
      <c r="E111" s="1" t="n">
        <v>46314</v>
      </c>
      <c r="F111" t="inlineStr">
        <is>
          <t>KRONOBERGS LÄN</t>
        </is>
      </c>
      <c r="G111" t="inlineStr">
        <is>
          <t>VÄXJÖ</t>
        </is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65672-2021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44516</v>
      </c>
      <c r="E112" s="1" t="n">
        <v>46314</v>
      </c>
      <c r="F112" t="inlineStr">
        <is>
          <t>KRONOBERGS LÄN</t>
        </is>
      </c>
      <c r="G112" t="inlineStr">
        <is>
          <t>VÄXJÖ</t>
        </is>
      </c>
      <c r="H112" t="inlineStr">
        <is>
          <t>Sveaskog</t>
        </is>
      </c>
      <c r="I112" t="n">
        <v>1.1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36334-2022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44803</v>
      </c>
      <c r="E113" s="1" t="n">
        <v>46314</v>
      </c>
      <c r="F113" t="inlineStr">
        <is>
          <t>KRONOBERGS LÄN</t>
        </is>
      </c>
      <c r="G113" t="inlineStr">
        <is>
          <t>VÄXJÖ</t>
        </is>
      </c>
      <c r="I113" t="n">
        <v>1.1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19096-2022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44691</v>
      </c>
      <c r="E114" s="1" t="n">
        <v>46314</v>
      </c>
      <c r="F114" t="inlineStr">
        <is>
          <t>KRONOBERGS LÄN</t>
        </is>
      </c>
      <c r="G114" t="inlineStr">
        <is>
          <t>VÄXJÖ</t>
        </is>
      </c>
      <c r="I114" t="n">
        <v>3.6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26505-2022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44739</v>
      </c>
      <c r="E115" s="1" t="n">
        <v>46314</v>
      </c>
      <c r="F115" t="inlineStr">
        <is>
          <t>KRONOBERGS LÄN</t>
        </is>
      </c>
      <c r="G115" t="inlineStr">
        <is>
          <t>VÄXJÖ</t>
        </is>
      </c>
      <c r="I115" t="n">
        <v>0.5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4547-2022</t>
        </is>
      </c>
      <c r="B116" t="inlineStr">
        <is>
          <t>avverkningsanmälan</t>
        </is>
      </c>
      <c r="C116" t="inlineStr">
        <is>
          <t>Avverkning för annat ändamål</t>
        </is>
      </c>
      <c r="D116" s="1" t="n">
        <v>44590</v>
      </c>
      <c r="E116" s="1" t="n">
        <v>46314</v>
      </c>
      <c r="F116" t="inlineStr">
        <is>
          <t>KRONOBERGS LÄN</t>
        </is>
      </c>
      <c r="G116" t="inlineStr">
        <is>
          <t>VÄXJÖ</t>
        </is>
      </c>
      <c r="H116" t="inlineStr">
        <is>
          <t>Kommuner</t>
        </is>
      </c>
      <c r="I116" t="n">
        <v>0.7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40019-2022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44820</v>
      </c>
      <c r="E117" s="1" t="n">
        <v>46314</v>
      </c>
      <c r="F117" t="inlineStr">
        <is>
          <t>KRONOBERGS LÄN</t>
        </is>
      </c>
      <c r="G117" t="inlineStr">
        <is>
          <t>VÄXJÖ</t>
        </is>
      </c>
      <c r="H117" t="inlineStr">
        <is>
          <t>Sveaskog</t>
        </is>
      </c>
      <c r="I117" t="n">
        <v>2.2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38692-2022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44814</v>
      </c>
      <c r="E118" s="1" t="n">
        <v>46314</v>
      </c>
      <c r="F118" t="inlineStr">
        <is>
          <t>KRONOBERGS LÄN</t>
        </is>
      </c>
      <c r="G118" t="inlineStr">
        <is>
          <t>VÄXJÖ</t>
        </is>
      </c>
      <c r="I118" t="n">
        <v>0.6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31099-2022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44769</v>
      </c>
      <c r="E119" s="1" t="n">
        <v>46314</v>
      </c>
      <c r="F119" t="inlineStr">
        <is>
          <t>KRONOBERGS LÄN</t>
        </is>
      </c>
      <c r="G119" t="inlineStr">
        <is>
          <t>VÄXJÖ</t>
        </is>
      </c>
      <c r="H119" t="inlineStr">
        <is>
          <t>Sveaskog</t>
        </is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40697-2022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44820</v>
      </c>
      <c r="E120" s="1" t="n">
        <v>46314</v>
      </c>
      <c r="F120" t="inlineStr">
        <is>
          <t>KRONOBERGS LÄN</t>
        </is>
      </c>
      <c r="G120" t="inlineStr">
        <is>
          <t>VÄXJÖ</t>
        </is>
      </c>
      <c r="I120" t="n">
        <v>5.1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21932-2022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44711</v>
      </c>
      <c r="E121" s="1" t="n">
        <v>46314</v>
      </c>
      <c r="F121" t="inlineStr">
        <is>
          <t>KRONOBERGS LÄN</t>
        </is>
      </c>
      <c r="G121" t="inlineStr">
        <is>
          <t>VÄXJÖ</t>
        </is>
      </c>
      <c r="I121" t="n">
        <v>0.6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53683-2022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44880</v>
      </c>
      <c r="E122" s="1" t="n">
        <v>46314</v>
      </c>
      <c r="F122" t="inlineStr">
        <is>
          <t>KRONOBERGS LÄN</t>
        </is>
      </c>
      <c r="G122" t="inlineStr">
        <is>
          <t>VÄXJÖ</t>
        </is>
      </c>
      <c r="I122" t="n">
        <v>0.7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60233-2021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44495</v>
      </c>
      <c r="E123" s="1" t="n">
        <v>46314</v>
      </c>
      <c r="F123" t="inlineStr">
        <is>
          <t>KRONOBERGS LÄN</t>
        </is>
      </c>
      <c r="G123" t="inlineStr">
        <is>
          <t>VÄXJÖ</t>
        </is>
      </c>
      <c r="I123" t="n">
        <v>0.4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63420-2021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44508</v>
      </c>
      <c r="E124" s="1" t="n">
        <v>46314</v>
      </c>
      <c r="F124" t="inlineStr">
        <is>
          <t>KRONOBERGS LÄN</t>
        </is>
      </c>
      <c r="G124" t="inlineStr">
        <is>
          <t>VÄXJÖ</t>
        </is>
      </c>
      <c r="I124" t="n">
        <v>2.8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65206-2021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44515</v>
      </c>
      <c r="E125" s="1" t="n">
        <v>46314</v>
      </c>
      <c r="F125" t="inlineStr">
        <is>
          <t>KRONOBERGS LÄN</t>
        </is>
      </c>
      <c r="G125" t="inlineStr">
        <is>
          <t>VÄXJÖ</t>
        </is>
      </c>
      <c r="I125" t="n">
        <v>0.4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6131-2022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44599</v>
      </c>
      <c r="E126" s="1" t="n">
        <v>46314</v>
      </c>
      <c r="F126" t="inlineStr">
        <is>
          <t>KRONOBERGS LÄN</t>
        </is>
      </c>
      <c r="G126" t="inlineStr">
        <is>
          <t>VÄXJÖ</t>
        </is>
      </c>
      <c r="I126" t="n">
        <v>2.1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60165-2021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44495</v>
      </c>
      <c r="E127" s="1" t="n">
        <v>46314</v>
      </c>
      <c r="F127" t="inlineStr">
        <is>
          <t>KRONOBERGS LÄN</t>
        </is>
      </c>
      <c r="G127" t="inlineStr">
        <is>
          <t>VÄXJÖ</t>
        </is>
      </c>
      <c r="I127" t="n">
        <v>0.5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6058-2022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44599</v>
      </c>
      <c r="E128" s="1" t="n">
        <v>46314</v>
      </c>
      <c r="F128" t="inlineStr">
        <is>
          <t>KRONOBERGS LÄN</t>
        </is>
      </c>
      <c r="G128" t="inlineStr">
        <is>
          <t>VÄXJÖ</t>
        </is>
      </c>
      <c r="I128" t="n">
        <v>3.1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14247-2022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44651</v>
      </c>
      <c r="E129" s="1" t="n">
        <v>46314</v>
      </c>
      <c r="F129" t="inlineStr">
        <is>
          <t>KRONOBERGS LÄN</t>
        </is>
      </c>
      <c r="G129" t="inlineStr">
        <is>
          <t>VÄXJÖ</t>
        </is>
      </c>
      <c r="I129" t="n">
        <v>2.5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53251-2022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44876</v>
      </c>
      <c r="E130" s="1" t="n">
        <v>46314</v>
      </c>
      <c r="F130" t="inlineStr">
        <is>
          <t>KRONOBERGS LÄN</t>
        </is>
      </c>
      <c r="G130" t="inlineStr">
        <is>
          <t>VÄXJÖ</t>
        </is>
      </c>
      <c r="H130" t="inlineStr">
        <is>
          <t>Sveaskog</t>
        </is>
      </c>
      <c r="I130" t="n">
        <v>3.6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16462-2022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44671</v>
      </c>
      <c r="E131" s="1" t="n">
        <v>46314</v>
      </c>
      <c r="F131" t="inlineStr">
        <is>
          <t>KRONOBERGS LÄN</t>
        </is>
      </c>
      <c r="G131" t="inlineStr">
        <is>
          <t>VÄXJÖ</t>
        </is>
      </c>
      <c r="I131" t="n">
        <v>0.4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60349-2021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44496</v>
      </c>
      <c r="E132" s="1" t="n">
        <v>46314</v>
      </c>
      <c r="F132" t="inlineStr">
        <is>
          <t>KRONOBERGS LÄN</t>
        </is>
      </c>
      <c r="G132" t="inlineStr">
        <is>
          <t>VÄXJÖ</t>
        </is>
      </c>
      <c r="I132" t="n">
        <v>0.5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29160-2022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44750</v>
      </c>
      <c r="E133" s="1" t="n">
        <v>46314</v>
      </c>
      <c r="F133" t="inlineStr">
        <is>
          <t>KRONOBERGS LÄN</t>
        </is>
      </c>
      <c r="G133" t="inlineStr">
        <is>
          <t>VÄXJÖ</t>
        </is>
      </c>
      <c r="I133" t="n">
        <v>0.6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707-2022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44568</v>
      </c>
      <c r="E134" s="1" t="n">
        <v>46314</v>
      </c>
      <c r="F134" t="inlineStr">
        <is>
          <t>KRONOBERGS LÄN</t>
        </is>
      </c>
      <c r="G134" t="inlineStr">
        <is>
          <t>VÄXJÖ</t>
        </is>
      </c>
      <c r="I134" t="n">
        <v>0.6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71874-2021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44543</v>
      </c>
      <c r="E135" s="1" t="n">
        <v>46314</v>
      </c>
      <c r="F135" t="inlineStr">
        <is>
          <t>KRONOBERGS LÄN</t>
        </is>
      </c>
      <c r="G135" t="inlineStr">
        <is>
          <t>VÄXJÖ</t>
        </is>
      </c>
      <c r="I135" t="n">
        <v>1.2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7245-2022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44606</v>
      </c>
      <c r="E136" s="1" t="n">
        <v>46314</v>
      </c>
      <c r="F136" t="inlineStr">
        <is>
          <t>KRONOBERGS LÄN</t>
        </is>
      </c>
      <c r="G136" t="inlineStr">
        <is>
          <t>VÄXJÖ</t>
        </is>
      </c>
      <c r="I136" t="n">
        <v>0.6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8480-2022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44613</v>
      </c>
      <c r="E137" s="1" t="n">
        <v>46314</v>
      </c>
      <c r="F137" t="inlineStr">
        <is>
          <t>KRONOBERGS LÄN</t>
        </is>
      </c>
      <c r="G137" t="inlineStr">
        <is>
          <t>VÄXJÖ</t>
        </is>
      </c>
      <c r="I137" t="n">
        <v>10.7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28080-2022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44746</v>
      </c>
      <c r="E138" s="1" t="n">
        <v>46314</v>
      </c>
      <c r="F138" t="inlineStr">
        <is>
          <t>KRONOBERGS LÄN</t>
        </is>
      </c>
      <c r="G138" t="inlineStr">
        <is>
          <t>VÄXJÖ</t>
        </is>
      </c>
      <c r="I138" t="n">
        <v>0.4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8324-2022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44610</v>
      </c>
      <c r="E139" s="1" t="n">
        <v>46314</v>
      </c>
      <c r="F139" t="inlineStr">
        <is>
          <t>KRONOBERGS LÄN</t>
        </is>
      </c>
      <c r="G139" t="inlineStr">
        <is>
          <t>VÄXJÖ</t>
        </is>
      </c>
      <c r="I139" t="n">
        <v>0.7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8312-2022</t>
        </is>
      </c>
      <c r="B140" t="inlineStr">
        <is>
          <t>avverkningsanmälan</t>
        </is>
      </c>
      <c r="C140" t="inlineStr">
        <is>
          <t>Avverkning för annat ändamål</t>
        </is>
      </c>
      <c r="D140" s="1" t="n">
        <v>44610</v>
      </c>
      <c r="E140" s="1" t="n">
        <v>46314</v>
      </c>
      <c r="F140" t="inlineStr">
        <is>
          <t>KRONOBERGS LÄN</t>
        </is>
      </c>
      <c r="G140" t="inlineStr">
        <is>
          <t>VÄXJÖ</t>
        </is>
      </c>
      <c r="I140" t="n">
        <v>1.1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59529-2021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44491</v>
      </c>
      <c r="E141" s="1" t="n">
        <v>46314</v>
      </c>
      <c r="F141" t="inlineStr">
        <is>
          <t>KRONOBERGS LÄN</t>
        </is>
      </c>
      <c r="G141" t="inlineStr">
        <is>
          <t>VÄXJÖ</t>
        </is>
      </c>
      <c r="I141" t="n">
        <v>0.5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26965-2022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44740</v>
      </c>
      <c r="E142" s="1" t="n">
        <v>46314</v>
      </c>
      <c r="F142" t="inlineStr">
        <is>
          <t>KRONOBERGS LÄN</t>
        </is>
      </c>
      <c r="G142" t="inlineStr">
        <is>
          <t>VÄXJÖ</t>
        </is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9566-2022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44617</v>
      </c>
      <c r="E143" s="1" t="n">
        <v>46314</v>
      </c>
      <c r="F143" t="inlineStr">
        <is>
          <t>KRONOBERGS LÄN</t>
        </is>
      </c>
      <c r="G143" t="inlineStr">
        <is>
          <t>VÄXJÖ</t>
        </is>
      </c>
      <c r="I143" t="n">
        <v>0.6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24448-2022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44726</v>
      </c>
      <c r="E144" s="1" t="n">
        <v>46314</v>
      </c>
      <c r="F144" t="inlineStr">
        <is>
          <t>KRONOBERGS LÄN</t>
        </is>
      </c>
      <c r="G144" t="inlineStr">
        <is>
          <t>VÄXJÖ</t>
        </is>
      </c>
      <c r="I144" t="n">
        <v>0.7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73428-2021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44551</v>
      </c>
      <c r="E145" s="1" t="n">
        <v>46314</v>
      </c>
      <c r="F145" t="inlineStr">
        <is>
          <t>KRONOBERGS LÄN</t>
        </is>
      </c>
      <c r="G145" t="inlineStr">
        <is>
          <t>VÄXJÖ</t>
        </is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6132-2022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44599</v>
      </c>
      <c r="E146" s="1" t="n">
        <v>46314</v>
      </c>
      <c r="F146" t="inlineStr">
        <is>
          <t>KRONOBERGS LÄN</t>
        </is>
      </c>
      <c r="G146" t="inlineStr">
        <is>
          <t>VÄXJÖ</t>
        </is>
      </c>
      <c r="I146" t="n">
        <v>1.4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32222-2022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44781</v>
      </c>
      <c r="E147" s="1" t="n">
        <v>46314</v>
      </c>
      <c r="F147" t="inlineStr">
        <is>
          <t>KRONOBERGS LÄN</t>
        </is>
      </c>
      <c r="G147" t="inlineStr">
        <is>
          <t>VÄXJÖ</t>
        </is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59667-2021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44494</v>
      </c>
      <c r="E148" s="1" t="n">
        <v>46314</v>
      </c>
      <c r="F148" t="inlineStr">
        <is>
          <t>KRONOBERGS LÄN</t>
        </is>
      </c>
      <c r="G148" t="inlineStr">
        <is>
          <t>VÄXJÖ</t>
        </is>
      </c>
      <c r="I148" t="n">
        <v>5.4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21014-2022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44704</v>
      </c>
      <c r="E149" s="1" t="n">
        <v>46314</v>
      </c>
      <c r="F149" t="inlineStr">
        <is>
          <t>KRONOBERGS LÄN</t>
        </is>
      </c>
      <c r="G149" t="inlineStr">
        <is>
          <t>VÄXJÖ</t>
        </is>
      </c>
      <c r="I149" t="n">
        <v>0.4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66862-2021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44522</v>
      </c>
      <c r="E150" s="1" t="n">
        <v>46314</v>
      </c>
      <c r="F150" t="inlineStr">
        <is>
          <t>KRONOBERGS LÄN</t>
        </is>
      </c>
      <c r="G150" t="inlineStr">
        <is>
          <t>VÄXJÖ</t>
        </is>
      </c>
      <c r="I150" t="n">
        <v>1.4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69842-2021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44532</v>
      </c>
      <c r="E151" s="1" t="n">
        <v>46314</v>
      </c>
      <c r="F151" t="inlineStr">
        <is>
          <t>KRONOBERGS LÄN</t>
        </is>
      </c>
      <c r="G151" t="inlineStr">
        <is>
          <t>VÄXJÖ</t>
        </is>
      </c>
      <c r="I151" t="n">
        <v>1.2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69844-2021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44532</v>
      </c>
      <c r="E152" s="1" t="n">
        <v>46314</v>
      </c>
      <c r="F152" t="inlineStr">
        <is>
          <t>KRONOBERGS LÄN</t>
        </is>
      </c>
      <c r="G152" t="inlineStr">
        <is>
          <t>VÄXJÖ</t>
        </is>
      </c>
      <c r="I152" t="n">
        <v>3.9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61339-2021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44498</v>
      </c>
      <c r="E153" s="1" t="n">
        <v>46314</v>
      </c>
      <c r="F153" t="inlineStr">
        <is>
          <t>KRONOBERGS LÄN</t>
        </is>
      </c>
      <c r="G153" t="inlineStr">
        <is>
          <t>VÄXJÖ</t>
        </is>
      </c>
      <c r="I153" t="n">
        <v>0.7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49037-2022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44860</v>
      </c>
      <c r="E154" s="1" t="n">
        <v>46314</v>
      </c>
      <c r="F154" t="inlineStr">
        <is>
          <t>KRONOBERGS LÄN</t>
        </is>
      </c>
      <c r="G154" t="inlineStr">
        <is>
          <t>VÄXJÖ</t>
        </is>
      </c>
      <c r="I154" t="n">
        <v>0.9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5673-2022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44596</v>
      </c>
      <c r="E155" s="1" t="n">
        <v>46314</v>
      </c>
      <c r="F155" t="inlineStr">
        <is>
          <t>KRONOBERGS LÄN</t>
        </is>
      </c>
      <c r="G155" t="inlineStr">
        <is>
          <t>VÄXJÖ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1580-2022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44573</v>
      </c>
      <c r="E156" s="1" t="n">
        <v>46314</v>
      </c>
      <c r="F156" t="inlineStr">
        <is>
          <t>KRONOBERGS LÄN</t>
        </is>
      </c>
      <c r="G156" t="inlineStr">
        <is>
          <t>VÄXJÖ</t>
        </is>
      </c>
      <c r="I156" t="n">
        <v>1.2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22296-2022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44712</v>
      </c>
      <c r="E157" s="1" t="n">
        <v>46314</v>
      </c>
      <c r="F157" t="inlineStr">
        <is>
          <t>KRONOBERGS LÄN</t>
        </is>
      </c>
      <c r="G157" t="inlineStr">
        <is>
          <t>VÄXJÖ</t>
        </is>
      </c>
      <c r="I157" t="n">
        <v>1.4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2403-2022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44579</v>
      </c>
      <c r="E158" s="1" t="n">
        <v>46314</v>
      </c>
      <c r="F158" t="inlineStr">
        <is>
          <t>KRONOBERGS LÄN</t>
        </is>
      </c>
      <c r="G158" t="inlineStr">
        <is>
          <t>VÄXJÖ</t>
        </is>
      </c>
      <c r="I158" t="n">
        <v>0.6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21960-2022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44711</v>
      </c>
      <c r="E159" s="1" t="n">
        <v>46314</v>
      </c>
      <c r="F159" t="inlineStr">
        <is>
          <t>KRONOBERGS LÄN</t>
        </is>
      </c>
      <c r="G159" t="inlineStr">
        <is>
          <t>VÄXJÖ</t>
        </is>
      </c>
      <c r="I159" t="n">
        <v>0.7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31116-2022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44769</v>
      </c>
      <c r="E160" s="1" t="n">
        <v>46314</v>
      </c>
      <c r="F160" t="inlineStr">
        <is>
          <t>KRONOBERGS LÄN</t>
        </is>
      </c>
      <c r="G160" t="inlineStr">
        <is>
          <t>VÄXJÖ</t>
        </is>
      </c>
      <c r="H160" t="inlineStr">
        <is>
          <t>Sveaskog</t>
        </is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62160-2021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44502</v>
      </c>
      <c r="E161" s="1" t="n">
        <v>46314</v>
      </c>
      <c r="F161" t="inlineStr">
        <is>
          <t>KRONOBERGS LÄN</t>
        </is>
      </c>
      <c r="G161" t="inlineStr">
        <is>
          <t>VÄXJÖ</t>
        </is>
      </c>
      <c r="H161" t="inlineStr">
        <is>
          <t>Sveaskog</t>
        </is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38395-2022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44812</v>
      </c>
      <c r="E162" s="1" t="n">
        <v>46314</v>
      </c>
      <c r="F162" t="inlineStr">
        <is>
          <t>KRONOBERGS LÄN</t>
        </is>
      </c>
      <c r="G162" t="inlineStr">
        <is>
          <t>VÄXJÖ</t>
        </is>
      </c>
      <c r="I162" t="n">
        <v>3.1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58824-2021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44489</v>
      </c>
      <c r="E163" s="1" t="n">
        <v>46314</v>
      </c>
      <c r="F163" t="inlineStr">
        <is>
          <t>KRONOBERGS LÄN</t>
        </is>
      </c>
      <c r="G163" t="inlineStr">
        <is>
          <t>VÄXJÖ</t>
        </is>
      </c>
      <c r="I163" t="n">
        <v>0.3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58827-2021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44489</v>
      </c>
      <c r="E164" s="1" t="n">
        <v>46314</v>
      </c>
      <c r="F164" t="inlineStr">
        <is>
          <t>KRONOBERGS LÄN</t>
        </is>
      </c>
      <c r="G164" t="inlineStr">
        <is>
          <t>VÄXJÖ</t>
        </is>
      </c>
      <c r="I164" t="n">
        <v>1.5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63278-2021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44508</v>
      </c>
      <c r="E165" s="1" t="n">
        <v>46314</v>
      </c>
      <c r="F165" t="inlineStr">
        <is>
          <t>KRONOBERGS LÄN</t>
        </is>
      </c>
      <c r="G165" t="inlineStr">
        <is>
          <t>VÄXJÖ</t>
        </is>
      </c>
      <c r="I165" t="n">
        <v>3.2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1797-2022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44574</v>
      </c>
      <c r="E166" s="1" t="n">
        <v>46314</v>
      </c>
      <c r="F166" t="inlineStr">
        <is>
          <t>KRONOBERGS LÄN</t>
        </is>
      </c>
      <c r="G166" t="inlineStr">
        <is>
          <t>VÄXJÖ</t>
        </is>
      </c>
      <c r="I166" t="n">
        <v>0.6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70646-2021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44537</v>
      </c>
      <c r="E167" s="1" t="n">
        <v>46314</v>
      </c>
      <c r="F167" t="inlineStr">
        <is>
          <t>KRONOBERGS LÄN</t>
        </is>
      </c>
      <c r="G167" t="inlineStr">
        <is>
          <t>VÄXJÖ</t>
        </is>
      </c>
      <c r="I167" t="n">
        <v>0.5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70675-2021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44537</v>
      </c>
      <c r="E168" s="1" t="n">
        <v>46314</v>
      </c>
      <c r="F168" t="inlineStr">
        <is>
          <t>KRONOBERGS LÄN</t>
        </is>
      </c>
      <c r="G168" t="inlineStr">
        <is>
          <t>VÄXJÖ</t>
        </is>
      </c>
      <c r="I168" t="n">
        <v>0.3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924-2022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44571</v>
      </c>
      <c r="E169" s="1" t="n">
        <v>46314</v>
      </c>
      <c r="F169" t="inlineStr">
        <is>
          <t>KRONOBERGS LÄN</t>
        </is>
      </c>
      <c r="G169" t="inlineStr">
        <is>
          <t>VÄXJÖ</t>
        </is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58916-2021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44489</v>
      </c>
      <c r="E170" s="1" t="n">
        <v>46314</v>
      </c>
      <c r="F170" t="inlineStr">
        <is>
          <t>KRONOBERGS LÄN</t>
        </is>
      </c>
      <c r="G170" t="inlineStr">
        <is>
          <t>VÄXJÖ</t>
        </is>
      </c>
      <c r="I170" t="n">
        <v>1.1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58060-2021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44487</v>
      </c>
      <c r="E171" s="1" t="n">
        <v>46314</v>
      </c>
      <c r="F171" t="inlineStr">
        <is>
          <t>KRONOBERGS LÄN</t>
        </is>
      </c>
      <c r="G171" t="inlineStr">
        <is>
          <t>VÄXJÖ</t>
        </is>
      </c>
      <c r="I171" t="n">
        <v>2.7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7219-2022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44603</v>
      </c>
      <c r="E172" s="1" t="n">
        <v>46314</v>
      </c>
      <c r="F172" t="inlineStr">
        <is>
          <t>KRONOBERGS LÄN</t>
        </is>
      </c>
      <c r="G172" t="inlineStr">
        <is>
          <t>VÄXJÖ</t>
        </is>
      </c>
      <c r="H172" t="inlineStr">
        <is>
          <t>Kyrkan</t>
        </is>
      </c>
      <c r="I172" t="n">
        <v>1.4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5869-2022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44596</v>
      </c>
      <c r="E173" s="1" t="n">
        <v>46314</v>
      </c>
      <c r="F173" t="inlineStr">
        <is>
          <t>KRONOBERGS LÄN</t>
        </is>
      </c>
      <c r="G173" t="inlineStr">
        <is>
          <t>VÄXJÖ</t>
        </is>
      </c>
      <c r="I173" t="n">
        <v>2.6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74489-2021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44560</v>
      </c>
      <c r="E174" s="1" t="n">
        <v>46314</v>
      </c>
      <c r="F174" t="inlineStr">
        <is>
          <t>KRONOBERGS LÄN</t>
        </is>
      </c>
      <c r="G174" t="inlineStr">
        <is>
          <t>VÄXJÖ</t>
        </is>
      </c>
      <c r="I174" t="n">
        <v>1.2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40015-2022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44820</v>
      </c>
      <c r="E175" s="1" t="n">
        <v>46314</v>
      </c>
      <c r="F175" t="inlineStr">
        <is>
          <t>KRONOBERGS LÄN</t>
        </is>
      </c>
      <c r="G175" t="inlineStr">
        <is>
          <t>VÄXJÖ</t>
        </is>
      </c>
      <c r="H175" t="inlineStr">
        <is>
          <t>Sveaskog</t>
        </is>
      </c>
      <c r="I175" t="n">
        <v>1.9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40017-2022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44820</v>
      </c>
      <c r="E176" s="1" t="n">
        <v>46314</v>
      </c>
      <c r="F176" t="inlineStr">
        <is>
          <t>KRONOBERGS LÄN</t>
        </is>
      </c>
      <c r="G176" t="inlineStr">
        <is>
          <t>VÄXJÖ</t>
        </is>
      </c>
      <c r="H176" t="inlineStr">
        <is>
          <t>Sveaskog</t>
        </is>
      </c>
      <c r="I176" t="n">
        <v>1.1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35913-2022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44802</v>
      </c>
      <c r="E177" s="1" t="n">
        <v>46314</v>
      </c>
      <c r="F177" t="inlineStr">
        <is>
          <t>KRONOBERGS LÄN</t>
        </is>
      </c>
      <c r="G177" t="inlineStr">
        <is>
          <t>VÄXJÖ</t>
        </is>
      </c>
      <c r="I177" t="n">
        <v>1.2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13325-2024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45386</v>
      </c>
      <c r="E178" s="1" t="n">
        <v>46314</v>
      </c>
      <c r="F178" t="inlineStr">
        <is>
          <t>KRONOBERGS LÄN</t>
        </is>
      </c>
      <c r="G178" t="inlineStr">
        <is>
          <t>VÄXJÖ</t>
        </is>
      </c>
      <c r="I178" t="n">
        <v>0.8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58475-2022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44894</v>
      </c>
      <c r="E179" s="1" t="n">
        <v>46314</v>
      </c>
      <c r="F179" t="inlineStr">
        <is>
          <t>KRONOBERGS LÄN</t>
        </is>
      </c>
      <c r="G179" t="inlineStr">
        <is>
          <t>VÄXJÖ</t>
        </is>
      </c>
      <c r="H179" t="inlineStr">
        <is>
          <t>Kyrkan</t>
        </is>
      </c>
      <c r="I179" t="n">
        <v>0.9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61354-2022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44915</v>
      </c>
      <c r="E180" s="1" t="n">
        <v>46314</v>
      </c>
      <c r="F180" t="inlineStr">
        <is>
          <t>KRONOBERGS LÄN</t>
        </is>
      </c>
      <c r="G180" t="inlineStr">
        <is>
          <t>VÄXJÖ</t>
        </is>
      </c>
      <c r="I180" t="n">
        <v>2.3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67304-2021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44523</v>
      </c>
      <c r="E181" s="1" t="n">
        <v>46314</v>
      </c>
      <c r="F181" t="inlineStr">
        <is>
          <t>KRONOBERGS LÄN</t>
        </is>
      </c>
      <c r="G181" t="inlineStr">
        <is>
          <t>VÄXJÖ</t>
        </is>
      </c>
      <c r="I181" t="n">
        <v>6.4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1587-2022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44573</v>
      </c>
      <c r="E182" s="1" t="n">
        <v>46314</v>
      </c>
      <c r="F182" t="inlineStr">
        <is>
          <t>KRONOBERGS LÄN</t>
        </is>
      </c>
      <c r="G182" t="inlineStr">
        <is>
          <t>VÄXJÖ</t>
        </is>
      </c>
      <c r="I182" t="n">
        <v>2.2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18058-2024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45420</v>
      </c>
      <c r="E183" s="1" t="n">
        <v>46314</v>
      </c>
      <c r="F183" t="inlineStr">
        <is>
          <t>KRONOBERGS LÄN</t>
        </is>
      </c>
      <c r="G183" t="inlineStr">
        <is>
          <t>VÄXJÖ</t>
        </is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28218-2024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45477</v>
      </c>
      <c r="E184" s="1" t="n">
        <v>46314</v>
      </c>
      <c r="F184" t="inlineStr">
        <is>
          <t>KRONOBERGS LÄN</t>
        </is>
      </c>
      <c r="G184" t="inlineStr">
        <is>
          <t>VÄXJÖ</t>
        </is>
      </c>
      <c r="H184" t="inlineStr">
        <is>
          <t>Sveaskog</t>
        </is>
      </c>
      <c r="I184" t="n">
        <v>1.7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54872-2023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45236</v>
      </c>
      <c r="E185" s="1" t="n">
        <v>46314</v>
      </c>
      <c r="F185" t="inlineStr">
        <is>
          <t>KRONOBERGS LÄN</t>
        </is>
      </c>
      <c r="G185" t="inlineStr">
        <is>
          <t>VÄXJÖ</t>
        </is>
      </c>
      <c r="I185" t="n">
        <v>0.5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49005-2024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45594</v>
      </c>
      <c r="E186" s="1" t="n">
        <v>46314</v>
      </c>
      <c r="F186" t="inlineStr">
        <is>
          <t>KRONOBERGS LÄN</t>
        </is>
      </c>
      <c r="G186" t="inlineStr">
        <is>
          <t>VÄXJÖ</t>
        </is>
      </c>
      <c r="H186" t="inlineStr">
        <is>
          <t>Sveaskog</t>
        </is>
      </c>
      <c r="I186" t="n">
        <v>0.5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49009-2024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45594</v>
      </c>
      <c r="E187" s="1" t="n">
        <v>46314</v>
      </c>
      <c r="F187" t="inlineStr">
        <is>
          <t>KRONOBERGS LÄN</t>
        </is>
      </c>
      <c r="G187" t="inlineStr">
        <is>
          <t>VÄXJÖ</t>
        </is>
      </c>
      <c r="H187" t="inlineStr">
        <is>
          <t>Sveaskog</t>
        </is>
      </c>
      <c r="I187" t="n">
        <v>0.4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49014-2024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45594</v>
      </c>
      <c r="E188" s="1" t="n">
        <v>46314</v>
      </c>
      <c r="F188" t="inlineStr">
        <is>
          <t>KRONOBERGS LÄN</t>
        </is>
      </c>
      <c r="G188" t="inlineStr">
        <is>
          <t>VÄXJÖ</t>
        </is>
      </c>
      <c r="H188" t="inlineStr">
        <is>
          <t>Sveaskog</t>
        </is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49015-2024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45594</v>
      </c>
      <c r="E189" s="1" t="n">
        <v>46314</v>
      </c>
      <c r="F189" t="inlineStr">
        <is>
          <t>KRONOBERGS LÄN</t>
        </is>
      </c>
      <c r="G189" t="inlineStr">
        <is>
          <t>VÄXJÖ</t>
        </is>
      </c>
      <c r="H189" t="inlineStr">
        <is>
          <t>Sveaskog</t>
        </is>
      </c>
      <c r="I189" t="n">
        <v>1.4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6934-2023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44967</v>
      </c>
      <c r="E190" s="1" t="n">
        <v>46314</v>
      </c>
      <c r="F190" t="inlineStr">
        <is>
          <t>KRONOBERGS LÄN</t>
        </is>
      </c>
      <c r="G190" t="inlineStr">
        <is>
          <t>VÄXJÖ</t>
        </is>
      </c>
      <c r="I190" t="n">
        <v>4.3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24556-2024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45460</v>
      </c>
      <c r="E191" s="1" t="n">
        <v>46314</v>
      </c>
      <c r="F191" t="inlineStr">
        <is>
          <t>KRONOBERGS LÄN</t>
        </is>
      </c>
      <c r="G191" t="inlineStr">
        <is>
          <t>VÄXJÖ</t>
        </is>
      </c>
      <c r="I191" t="n">
        <v>0.7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4320-2024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45324</v>
      </c>
      <c r="E192" s="1" t="n">
        <v>46314</v>
      </c>
      <c r="F192" t="inlineStr">
        <is>
          <t>KRONOBERGS LÄN</t>
        </is>
      </c>
      <c r="G192" t="inlineStr">
        <is>
          <t>VÄXJÖ</t>
        </is>
      </c>
      <c r="I192" t="n">
        <v>1.3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62164-2021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44502</v>
      </c>
      <c r="E193" s="1" t="n">
        <v>46314</v>
      </c>
      <c r="F193" t="inlineStr">
        <is>
          <t>KRONOBERGS LÄN</t>
        </is>
      </c>
      <c r="G193" t="inlineStr">
        <is>
          <t>VÄXJÖ</t>
        </is>
      </c>
      <c r="H193" t="inlineStr">
        <is>
          <t>Sveaskog</t>
        </is>
      </c>
      <c r="I193" t="n">
        <v>1.3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9755-2025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45715</v>
      </c>
      <c r="E194" s="1" t="n">
        <v>46314</v>
      </c>
      <c r="F194" t="inlineStr">
        <is>
          <t>KRONOBERGS LÄN</t>
        </is>
      </c>
      <c r="G194" t="inlineStr">
        <is>
          <t>VÄXJÖ</t>
        </is>
      </c>
      <c r="H194" t="inlineStr">
        <is>
          <t>Kyrkan</t>
        </is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2023-2025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45672</v>
      </c>
      <c r="E195" s="1" t="n">
        <v>46314</v>
      </c>
      <c r="F195" t="inlineStr">
        <is>
          <t>KRONOBERGS LÄN</t>
        </is>
      </c>
      <c r="G195" t="inlineStr">
        <is>
          <t>VÄXJÖ</t>
        </is>
      </c>
      <c r="I195" t="n">
        <v>0.4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49006-2024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45594</v>
      </c>
      <c r="E196" s="1" t="n">
        <v>46314</v>
      </c>
      <c r="F196" t="inlineStr">
        <is>
          <t>KRONOBERGS LÄN</t>
        </is>
      </c>
      <c r="G196" t="inlineStr">
        <is>
          <t>VÄXJÖ</t>
        </is>
      </c>
      <c r="H196" t="inlineStr">
        <is>
          <t>Sveaskog</t>
        </is>
      </c>
      <c r="I196" t="n">
        <v>0.5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49026-2024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45594</v>
      </c>
      <c r="E197" s="1" t="n">
        <v>46314</v>
      </c>
      <c r="F197" t="inlineStr">
        <is>
          <t>KRONOBERGS LÄN</t>
        </is>
      </c>
      <c r="G197" t="inlineStr">
        <is>
          <t>VÄXJÖ</t>
        </is>
      </c>
      <c r="H197" t="inlineStr">
        <is>
          <t>Sveaskog</t>
        </is>
      </c>
      <c r="I197" t="n">
        <v>0.7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40249-2024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45554</v>
      </c>
      <c r="E198" s="1" t="n">
        <v>46314</v>
      </c>
      <c r="F198" t="inlineStr">
        <is>
          <t>KRONOBERGS LÄN</t>
        </is>
      </c>
      <c r="G198" t="inlineStr">
        <is>
          <t>VÄXJÖ</t>
        </is>
      </c>
      <c r="I198" t="n">
        <v>0.9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70671-2021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44537</v>
      </c>
      <c r="E199" s="1" t="n">
        <v>46314</v>
      </c>
      <c r="F199" t="inlineStr">
        <is>
          <t>KRONOBERGS LÄN</t>
        </is>
      </c>
      <c r="G199" t="inlineStr">
        <is>
          <t>VÄXJÖ</t>
        </is>
      </c>
      <c r="I199" t="n">
        <v>1.5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30755-2022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44764</v>
      </c>
      <c r="E200" s="1" t="n">
        <v>46314</v>
      </c>
      <c r="F200" t="inlineStr">
        <is>
          <t>KRONOBERGS LÄN</t>
        </is>
      </c>
      <c r="G200" t="inlineStr">
        <is>
          <t>VÄXJÖ</t>
        </is>
      </c>
      <c r="I200" t="n">
        <v>1.2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20382-2025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45775</v>
      </c>
      <c r="E201" s="1" t="n">
        <v>46314</v>
      </c>
      <c r="F201" t="inlineStr">
        <is>
          <t>KRONOBERGS LÄN</t>
        </is>
      </c>
      <c r="G201" t="inlineStr">
        <is>
          <t>VÄXJÖ</t>
        </is>
      </c>
      <c r="I201" t="n">
        <v>6.4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18381-2025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45762</v>
      </c>
      <c r="E202" s="1" t="n">
        <v>46314</v>
      </c>
      <c r="F202" t="inlineStr">
        <is>
          <t>KRONOBERGS LÄN</t>
        </is>
      </c>
      <c r="G202" t="inlineStr">
        <is>
          <t>VÄXJÖ</t>
        </is>
      </c>
      <c r="H202" t="inlineStr">
        <is>
          <t>Sveaskog</t>
        </is>
      </c>
      <c r="I202" t="n">
        <v>0.5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20397-2023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45056</v>
      </c>
      <c r="E203" s="1" t="n">
        <v>46314</v>
      </c>
      <c r="F203" t="inlineStr">
        <is>
          <t>KRONOBERGS LÄN</t>
        </is>
      </c>
      <c r="G203" t="inlineStr">
        <is>
          <t>VÄXJÖ</t>
        </is>
      </c>
      <c r="I203" t="n">
        <v>1.3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40674-2024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45558</v>
      </c>
      <c r="E204" s="1" t="n">
        <v>46314</v>
      </c>
      <c r="F204" t="inlineStr">
        <is>
          <t>KRONOBERGS LÄN</t>
        </is>
      </c>
      <c r="G204" t="inlineStr">
        <is>
          <t>VÄXJÖ</t>
        </is>
      </c>
      <c r="I204" t="n">
        <v>1.6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3280-2025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45679</v>
      </c>
      <c r="E205" s="1" t="n">
        <v>46314</v>
      </c>
      <c r="F205" t="inlineStr">
        <is>
          <t>KRONOBERGS LÄN</t>
        </is>
      </c>
      <c r="G205" t="inlineStr">
        <is>
          <t>VÄXJÖ</t>
        </is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14883-2022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44656</v>
      </c>
      <c r="E206" s="1" t="n">
        <v>46314</v>
      </c>
      <c r="F206" t="inlineStr">
        <is>
          <t>KRONOBERGS LÄN</t>
        </is>
      </c>
      <c r="G206" t="inlineStr">
        <is>
          <t>VÄXJÖ</t>
        </is>
      </c>
      <c r="I206" t="n">
        <v>0.5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7251-2023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44970</v>
      </c>
      <c r="E207" s="1" t="n">
        <v>46314</v>
      </c>
      <c r="F207" t="inlineStr">
        <is>
          <t>KRONOBERGS LÄN</t>
        </is>
      </c>
      <c r="G207" t="inlineStr">
        <is>
          <t>VÄXJÖ</t>
        </is>
      </c>
      <c r="I207" t="n">
        <v>2.1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10566-2023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44988</v>
      </c>
      <c r="E208" s="1" t="n">
        <v>46314</v>
      </c>
      <c r="F208" t="inlineStr">
        <is>
          <t>KRONOBERGS LÄN</t>
        </is>
      </c>
      <c r="G208" t="inlineStr">
        <is>
          <t>VÄXJÖ</t>
        </is>
      </c>
      <c r="I208" t="n">
        <v>2.1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42758-2023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45181</v>
      </c>
      <c r="E209" s="1" t="n">
        <v>46314</v>
      </c>
      <c r="F209" t="inlineStr">
        <is>
          <t>KRONOBERGS LÄN</t>
        </is>
      </c>
      <c r="G209" t="inlineStr">
        <is>
          <t>VÄXJÖ</t>
        </is>
      </c>
      <c r="I209" t="n">
        <v>2.2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36390-2023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45152</v>
      </c>
      <c r="E210" s="1" t="n">
        <v>46314</v>
      </c>
      <c r="F210" t="inlineStr">
        <is>
          <t>KRONOBERGS LÄN</t>
        </is>
      </c>
      <c r="G210" t="inlineStr">
        <is>
          <t>VÄXJÖ</t>
        </is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20478-2023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45057</v>
      </c>
      <c r="E211" s="1" t="n">
        <v>46314</v>
      </c>
      <c r="F211" t="inlineStr">
        <is>
          <t>KRONOBERGS LÄN</t>
        </is>
      </c>
      <c r="G211" t="inlineStr">
        <is>
          <t>VÄXJÖ</t>
        </is>
      </c>
      <c r="I211" t="n">
        <v>0.7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5093-2024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45330</v>
      </c>
      <c r="E212" s="1" t="n">
        <v>46314</v>
      </c>
      <c r="F212" t="inlineStr">
        <is>
          <t>KRONOBERGS LÄN</t>
        </is>
      </c>
      <c r="G212" t="inlineStr">
        <is>
          <t>VÄXJÖ</t>
        </is>
      </c>
      <c r="I212" t="n">
        <v>0.9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10955-2023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44991</v>
      </c>
      <c r="E213" s="1" t="n">
        <v>46314</v>
      </c>
      <c r="F213" t="inlineStr">
        <is>
          <t>KRONOBERGS LÄN</t>
        </is>
      </c>
      <c r="G213" t="inlineStr">
        <is>
          <t>VÄXJÖ</t>
        </is>
      </c>
      <c r="I213" t="n">
        <v>24.7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57932-2022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44900</v>
      </c>
      <c r="E214" s="1" t="n">
        <v>46314</v>
      </c>
      <c r="F214" t="inlineStr">
        <is>
          <t>KRONOBERGS LÄN</t>
        </is>
      </c>
      <c r="G214" t="inlineStr">
        <is>
          <t>VÄXJÖ</t>
        </is>
      </c>
      <c r="I214" t="n">
        <v>0.8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3879-2024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45322</v>
      </c>
      <c r="E215" s="1" t="n">
        <v>46314</v>
      </c>
      <c r="F215" t="inlineStr">
        <is>
          <t>KRONOBERGS LÄN</t>
        </is>
      </c>
      <c r="G215" t="inlineStr">
        <is>
          <t>VÄXJÖ</t>
        </is>
      </c>
      <c r="I215" t="n">
        <v>2.4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22441-2022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44713</v>
      </c>
      <c r="E216" s="1" t="n">
        <v>46314</v>
      </c>
      <c r="F216" t="inlineStr">
        <is>
          <t>KRONOBERGS LÄN</t>
        </is>
      </c>
      <c r="G216" t="inlineStr">
        <is>
          <t>VÄXJÖ</t>
        </is>
      </c>
      <c r="I216" t="n">
        <v>0.7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9001-2023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44979</v>
      </c>
      <c r="E217" s="1" t="n">
        <v>46314</v>
      </c>
      <c r="F217" t="inlineStr">
        <is>
          <t>KRONOBERGS LÄN</t>
        </is>
      </c>
      <c r="G217" t="inlineStr">
        <is>
          <t>VÄXJÖ</t>
        </is>
      </c>
      <c r="I217" t="n">
        <v>0.5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16990-2023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45033</v>
      </c>
      <c r="E218" s="1" t="n">
        <v>46314</v>
      </c>
      <c r="F218" t="inlineStr">
        <is>
          <t>KRONOBERGS LÄN</t>
        </is>
      </c>
      <c r="G218" t="inlineStr">
        <is>
          <t>VÄXJÖ</t>
        </is>
      </c>
      <c r="H218" t="inlineStr">
        <is>
          <t>Övriga Aktiebolag</t>
        </is>
      </c>
      <c r="I218" t="n">
        <v>3.6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69748-2021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44532</v>
      </c>
      <c r="E219" s="1" t="n">
        <v>46314</v>
      </c>
      <c r="F219" t="inlineStr">
        <is>
          <t>KRONOBERGS LÄN</t>
        </is>
      </c>
      <c r="G219" t="inlineStr">
        <is>
          <t>VÄXJÖ</t>
        </is>
      </c>
      <c r="I219" t="n">
        <v>2.9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6809-2022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44602</v>
      </c>
      <c r="E220" s="1" t="n">
        <v>46314</v>
      </c>
      <c r="F220" t="inlineStr">
        <is>
          <t>KRONOBERGS LÄN</t>
        </is>
      </c>
      <c r="G220" t="inlineStr">
        <is>
          <t>VÄXJÖ</t>
        </is>
      </c>
      <c r="I220" t="n">
        <v>1.2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9960-2022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44620</v>
      </c>
      <c r="E221" s="1" t="n">
        <v>46314</v>
      </c>
      <c r="F221" t="inlineStr">
        <is>
          <t>KRONOBERGS LÄN</t>
        </is>
      </c>
      <c r="G221" t="inlineStr">
        <is>
          <t>VÄXJÖ</t>
        </is>
      </c>
      <c r="I221" t="n">
        <v>12.2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42002-2024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45561</v>
      </c>
      <c r="E222" s="1" t="n">
        <v>46314</v>
      </c>
      <c r="F222" t="inlineStr">
        <is>
          <t>KRONOBERGS LÄN</t>
        </is>
      </c>
      <c r="G222" t="inlineStr">
        <is>
          <t>VÄXJÖ</t>
        </is>
      </c>
      <c r="I222" t="n">
        <v>0.5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56821-2022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44894</v>
      </c>
      <c r="E223" s="1" t="n">
        <v>46314</v>
      </c>
      <c r="F223" t="inlineStr">
        <is>
          <t>KRONOBERGS LÄN</t>
        </is>
      </c>
      <c r="G223" t="inlineStr">
        <is>
          <t>VÄXJÖ</t>
        </is>
      </c>
      <c r="I223" t="n">
        <v>1.6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37755-2024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45541</v>
      </c>
      <c r="E224" s="1" t="n">
        <v>46314</v>
      </c>
      <c r="F224" t="inlineStr">
        <is>
          <t>KRONOBERGS LÄN</t>
        </is>
      </c>
      <c r="G224" t="inlineStr">
        <is>
          <t>VÄXJÖ</t>
        </is>
      </c>
      <c r="I224" t="n">
        <v>0.9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11265-2025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45726</v>
      </c>
      <c r="E225" s="1" t="n">
        <v>46314</v>
      </c>
      <c r="F225" t="inlineStr">
        <is>
          <t>KRONOBERGS LÄN</t>
        </is>
      </c>
      <c r="G225" t="inlineStr">
        <is>
          <t>VÄXJÖ</t>
        </is>
      </c>
      <c r="I225" t="n">
        <v>0.6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6133-2022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44599</v>
      </c>
      <c r="E226" s="1" t="n">
        <v>46314</v>
      </c>
      <c r="F226" t="inlineStr">
        <is>
          <t>KRONOBERGS LÄN</t>
        </is>
      </c>
      <c r="G226" t="inlineStr">
        <is>
          <t>VÄXJÖ</t>
        </is>
      </c>
      <c r="I226" t="n">
        <v>3.2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31469-2023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45114</v>
      </c>
      <c r="E227" s="1" t="n">
        <v>46314</v>
      </c>
      <c r="F227" t="inlineStr">
        <is>
          <t>KRONOBERGS LÄN</t>
        </is>
      </c>
      <c r="G227" t="inlineStr">
        <is>
          <t>VÄXJÖ</t>
        </is>
      </c>
      <c r="I227" t="n">
        <v>0.6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6625-2024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45341</v>
      </c>
      <c r="E228" s="1" t="n">
        <v>46314</v>
      </c>
      <c r="F228" t="inlineStr">
        <is>
          <t>KRONOBERGS LÄN</t>
        </is>
      </c>
      <c r="G228" t="inlineStr">
        <is>
          <t>VÄXJÖ</t>
        </is>
      </c>
      <c r="I228" t="n">
        <v>0.8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9358-2024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45359</v>
      </c>
      <c r="E229" s="1" t="n">
        <v>46314</v>
      </c>
      <c r="F229" t="inlineStr">
        <is>
          <t>KRONOBERGS LÄN</t>
        </is>
      </c>
      <c r="G229" t="inlineStr">
        <is>
          <t>VÄXJÖ</t>
        </is>
      </c>
      <c r="I229" t="n">
        <v>0.9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40506-2024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45555</v>
      </c>
      <c r="E230" s="1" t="n">
        <v>46314</v>
      </c>
      <c r="F230" t="inlineStr">
        <is>
          <t>KRONOBERGS LÄN</t>
        </is>
      </c>
      <c r="G230" t="inlineStr">
        <is>
          <t>VÄXJÖ</t>
        </is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5094-2024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45330</v>
      </c>
      <c r="E231" s="1" t="n">
        <v>46314</v>
      </c>
      <c r="F231" t="inlineStr">
        <is>
          <t>KRONOBERGS LÄN</t>
        </is>
      </c>
      <c r="G231" t="inlineStr">
        <is>
          <t>VÄXJÖ</t>
        </is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29103-2023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45105</v>
      </c>
      <c r="E232" s="1" t="n">
        <v>46314</v>
      </c>
      <c r="F232" t="inlineStr">
        <is>
          <t>KRONOBERGS LÄN</t>
        </is>
      </c>
      <c r="G232" t="inlineStr">
        <is>
          <t>VÄXJÖ</t>
        </is>
      </c>
      <c r="I232" t="n">
        <v>3.3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5179-2025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45691</v>
      </c>
      <c r="E233" s="1" t="n">
        <v>46314</v>
      </c>
      <c r="F233" t="inlineStr">
        <is>
          <t>KRONOBERGS LÄN</t>
        </is>
      </c>
      <c r="G233" t="inlineStr">
        <is>
          <t>VÄXJÖ</t>
        </is>
      </c>
      <c r="I233" t="n">
        <v>2.8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9353-2025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45714</v>
      </c>
      <c r="E234" s="1" t="n">
        <v>46314</v>
      </c>
      <c r="F234" t="inlineStr">
        <is>
          <t>KRONOBERGS LÄN</t>
        </is>
      </c>
      <c r="G234" t="inlineStr">
        <is>
          <t>VÄXJÖ</t>
        </is>
      </c>
      <c r="I234" t="n">
        <v>0.5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45741-2024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45579</v>
      </c>
      <c r="E235" s="1" t="n">
        <v>46314</v>
      </c>
      <c r="F235" t="inlineStr">
        <is>
          <t>KRONOBERGS LÄN</t>
        </is>
      </c>
      <c r="G235" t="inlineStr">
        <is>
          <t>VÄXJÖ</t>
        </is>
      </c>
      <c r="I235" t="n">
        <v>0.7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40621-2024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45557</v>
      </c>
      <c r="E236" s="1" t="n">
        <v>46314</v>
      </c>
      <c r="F236" t="inlineStr">
        <is>
          <t>KRONOBERGS LÄN</t>
        </is>
      </c>
      <c r="G236" t="inlineStr">
        <is>
          <t>VÄXJÖ</t>
        </is>
      </c>
      <c r="I236" t="n">
        <v>1.4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51190-2023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45219</v>
      </c>
      <c r="E237" s="1" t="n">
        <v>46314</v>
      </c>
      <c r="F237" t="inlineStr">
        <is>
          <t>KRONOBERGS LÄN</t>
        </is>
      </c>
      <c r="G237" t="inlineStr">
        <is>
          <t>VÄXJÖ</t>
        </is>
      </c>
      <c r="I237" t="n">
        <v>1.5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40618-2024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45557</v>
      </c>
      <c r="E238" s="1" t="n">
        <v>46314</v>
      </c>
      <c r="F238" t="inlineStr">
        <is>
          <t>KRONOBERGS LÄN</t>
        </is>
      </c>
      <c r="G238" t="inlineStr">
        <is>
          <t>VÄXJÖ</t>
        </is>
      </c>
      <c r="I238" t="n">
        <v>0.5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46742-2024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45583</v>
      </c>
      <c r="E239" s="1" t="n">
        <v>46314</v>
      </c>
      <c r="F239" t="inlineStr">
        <is>
          <t>KRONOBERGS LÄN</t>
        </is>
      </c>
      <c r="G239" t="inlineStr">
        <is>
          <t>VÄXJÖ</t>
        </is>
      </c>
      <c r="I239" t="n">
        <v>0.7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2114-2024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45309</v>
      </c>
      <c r="E240" s="1" t="n">
        <v>46314</v>
      </c>
      <c r="F240" t="inlineStr">
        <is>
          <t>KRONOBERGS LÄN</t>
        </is>
      </c>
      <c r="G240" t="inlineStr">
        <is>
          <t>VÄXJÖ</t>
        </is>
      </c>
      <c r="I240" t="n">
        <v>0.8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13841-2025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45737</v>
      </c>
      <c r="E241" s="1" t="n">
        <v>46314</v>
      </c>
      <c r="F241" t="inlineStr">
        <is>
          <t>KRONOBERGS LÄN</t>
        </is>
      </c>
      <c r="G241" t="inlineStr">
        <is>
          <t>VÄXJÖ</t>
        </is>
      </c>
      <c r="I241" t="n">
        <v>0.7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16655-2024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45408</v>
      </c>
      <c r="E242" s="1" t="n">
        <v>46314</v>
      </c>
      <c r="F242" t="inlineStr">
        <is>
          <t>KRONOBERGS LÄN</t>
        </is>
      </c>
      <c r="G242" t="inlineStr">
        <is>
          <t>VÄXJÖ</t>
        </is>
      </c>
      <c r="I242" t="n">
        <v>3.6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47275-2024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45586</v>
      </c>
      <c r="E243" s="1" t="n">
        <v>46314</v>
      </c>
      <c r="F243" t="inlineStr">
        <is>
          <t>KRONOBERGS LÄN</t>
        </is>
      </c>
      <c r="G243" t="inlineStr">
        <is>
          <t>VÄXJÖ</t>
        </is>
      </c>
      <c r="I243" t="n">
        <v>0.8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13972-2024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45392</v>
      </c>
      <c r="E244" s="1" t="n">
        <v>46314</v>
      </c>
      <c r="F244" t="inlineStr">
        <is>
          <t>KRONOBERGS LÄN</t>
        </is>
      </c>
      <c r="G244" t="inlineStr">
        <is>
          <t>VÄXJÖ</t>
        </is>
      </c>
      <c r="H244" t="inlineStr">
        <is>
          <t>Sveaskog</t>
        </is>
      </c>
      <c r="I244" t="n">
        <v>0.6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2119-2024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45309</v>
      </c>
      <c r="E245" s="1" t="n">
        <v>46314</v>
      </c>
      <c r="F245" t="inlineStr">
        <is>
          <t>KRONOBERGS LÄN</t>
        </is>
      </c>
      <c r="G245" t="inlineStr">
        <is>
          <t>VÄXJÖ</t>
        </is>
      </c>
      <c r="I245" t="n">
        <v>2.4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47674-2022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44854</v>
      </c>
      <c r="E246" s="1" t="n">
        <v>46314</v>
      </c>
      <c r="F246" t="inlineStr">
        <is>
          <t>KRONOBERGS LÄN</t>
        </is>
      </c>
      <c r="G246" t="inlineStr">
        <is>
          <t>VÄXJÖ</t>
        </is>
      </c>
      <c r="I246" t="n">
        <v>5.6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59294-2023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45253</v>
      </c>
      <c r="E247" s="1" t="n">
        <v>46314</v>
      </c>
      <c r="F247" t="inlineStr">
        <is>
          <t>KRONOBERGS LÄN</t>
        </is>
      </c>
      <c r="G247" t="inlineStr">
        <is>
          <t>VÄXJÖ</t>
        </is>
      </c>
      <c r="I247" t="n">
        <v>1.7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24524-2024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45460</v>
      </c>
      <c r="E248" s="1" t="n">
        <v>46314</v>
      </c>
      <c r="F248" t="inlineStr">
        <is>
          <t>KRONOBERGS LÄN</t>
        </is>
      </c>
      <c r="G248" t="inlineStr">
        <is>
          <t>VÄXJÖ</t>
        </is>
      </c>
      <c r="I248" t="n">
        <v>1.5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73827-2021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44552</v>
      </c>
      <c r="E249" s="1" t="n">
        <v>46314</v>
      </c>
      <c r="F249" t="inlineStr">
        <is>
          <t>KRONOBERGS LÄN</t>
        </is>
      </c>
      <c r="G249" t="inlineStr">
        <is>
          <t>VÄXJÖ</t>
        </is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2112-2024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45309</v>
      </c>
      <c r="E250" s="1" t="n">
        <v>46314</v>
      </c>
      <c r="F250" t="inlineStr">
        <is>
          <t>KRONOBERGS LÄN</t>
        </is>
      </c>
      <c r="G250" t="inlineStr">
        <is>
          <t>VÄXJÖ</t>
        </is>
      </c>
      <c r="I250" t="n">
        <v>1.2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57023-2023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45244</v>
      </c>
      <c r="E251" s="1" t="n">
        <v>46314</v>
      </c>
      <c r="F251" t="inlineStr">
        <is>
          <t>KRONOBERGS LÄN</t>
        </is>
      </c>
      <c r="G251" t="inlineStr">
        <is>
          <t>VÄXJÖ</t>
        </is>
      </c>
      <c r="I251" t="n">
        <v>0.6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57034-2023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45244</v>
      </c>
      <c r="E252" s="1" t="n">
        <v>46314</v>
      </c>
      <c r="F252" t="inlineStr">
        <is>
          <t>KRONOBERGS LÄN</t>
        </is>
      </c>
      <c r="G252" t="inlineStr">
        <is>
          <t>VÄXJÖ</t>
        </is>
      </c>
      <c r="I252" t="n">
        <v>1.3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60163-2022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44909</v>
      </c>
      <c r="E253" s="1" t="n">
        <v>46314</v>
      </c>
      <c r="F253" t="inlineStr">
        <is>
          <t>KRONOBERGS LÄN</t>
        </is>
      </c>
      <c r="G253" t="inlineStr">
        <is>
          <t>VÄXJÖ</t>
        </is>
      </c>
      <c r="I253" t="n">
        <v>0.8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49620-2023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45211</v>
      </c>
      <c r="E254" s="1" t="n">
        <v>46314</v>
      </c>
      <c r="F254" t="inlineStr">
        <is>
          <t>KRONOBERGS LÄN</t>
        </is>
      </c>
      <c r="G254" t="inlineStr">
        <is>
          <t>VÄXJÖ</t>
        </is>
      </c>
      <c r="I254" t="n">
        <v>2.7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4412-2025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45686</v>
      </c>
      <c r="E255" s="1" t="n">
        <v>46314</v>
      </c>
      <c r="F255" t="inlineStr">
        <is>
          <t>KRONOBERGS LÄN</t>
        </is>
      </c>
      <c r="G255" t="inlineStr">
        <is>
          <t>VÄXJÖ</t>
        </is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54397-2023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45233</v>
      </c>
      <c r="E256" s="1" t="n">
        <v>46314</v>
      </c>
      <c r="F256" t="inlineStr">
        <is>
          <t>KRONOBERGS LÄN</t>
        </is>
      </c>
      <c r="G256" t="inlineStr">
        <is>
          <t>VÄXJÖ</t>
        </is>
      </c>
      <c r="I256" t="n">
        <v>2.2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38688-2022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44814</v>
      </c>
      <c r="E257" s="1" t="n">
        <v>46314</v>
      </c>
      <c r="F257" t="inlineStr">
        <is>
          <t>KRONOBERGS LÄN</t>
        </is>
      </c>
      <c r="G257" t="inlineStr">
        <is>
          <t>VÄXJÖ</t>
        </is>
      </c>
      <c r="I257" t="n">
        <v>0.5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38689-2022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44814</v>
      </c>
      <c r="E258" s="1" t="n">
        <v>46314</v>
      </c>
      <c r="F258" t="inlineStr">
        <is>
          <t>KRONOBERGS LÄN</t>
        </is>
      </c>
      <c r="G258" t="inlineStr">
        <is>
          <t>VÄXJÖ</t>
        </is>
      </c>
      <c r="I258" t="n">
        <v>0.7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21023-2023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45061</v>
      </c>
      <c r="E259" s="1" t="n">
        <v>46314</v>
      </c>
      <c r="F259" t="inlineStr">
        <is>
          <t>KRONOBERGS LÄN</t>
        </is>
      </c>
      <c r="G259" t="inlineStr">
        <is>
          <t>VÄXJÖ</t>
        </is>
      </c>
      <c r="I259" t="n">
        <v>0.5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64295-2023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45280</v>
      </c>
      <c r="E260" s="1" t="n">
        <v>46314</v>
      </c>
      <c r="F260" t="inlineStr">
        <is>
          <t>KRONOBERGS LÄN</t>
        </is>
      </c>
      <c r="G260" t="inlineStr">
        <is>
          <t>VÄXJÖ</t>
        </is>
      </c>
      <c r="I260" t="n">
        <v>2.2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771-2024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45300</v>
      </c>
      <c r="E261" s="1" t="n">
        <v>46314</v>
      </c>
      <c r="F261" t="inlineStr">
        <is>
          <t>KRONOBERGS LÄN</t>
        </is>
      </c>
      <c r="G261" t="inlineStr">
        <is>
          <t>VÄXJÖ</t>
        </is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48264-2022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44858</v>
      </c>
      <c r="E262" s="1" t="n">
        <v>46314</v>
      </c>
      <c r="F262" t="inlineStr">
        <is>
          <t>KRONOBERGS LÄN</t>
        </is>
      </c>
      <c r="G262" t="inlineStr">
        <is>
          <t>VÄXJÖ</t>
        </is>
      </c>
      <c r="I262" t="n">
        <v>2.7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17010-2024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45412</v>
      </c>
      <c r="E263" s="1" t="n">
        <v>46314</v>
      </c>
      <c r="F263" t="inlineStr">
        <is>
          <t>KRONOBERGS LÄN</t>
        </is>
      </c>
      <c r="G263" t="inlineStr">
        <is>
          <t>VÄXJÖ</t>
        </is>
      </c>
      <c r="I263" t="n">
        <v>0.8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46585-2023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45194</v>
      </c>
      <c r="E264" s="1" t="n">
        <v>46314</v>
      </c>
      <c r="F264" t="inlineStr">
        <is>
          <t>KRONOBERGS LÄN</t>
        </is>
      </c>
      <c r="G264" t="inlineStr">
        <is>
          <t>VÄXJÖ</t>
        </is>
      </c>
      <c r="I264" t="n">
        <v>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1096-2023</t>
        </is>
      </c>
      <c r="B265" t="inlineStr">
        <is>
          <t>avverkningsanmälan</t>
        </is>
      </c>
      <c r="C265" t="inlineStr">
        <is>
          <t>Avverkning för annat ändamål</t>
        </is>
      </c>
      <c r="D265" s="1" t="n">
        <v>44929</v>
      </c>
      <c r="E265" s="1" t="n">
        <v>46314</v>
      </c>
      <c r="F265" t="inlineStr">
        <is>
          <t>KRONOBERGS LÄN</t>
        </is>
      </c>
      <c r="G265" t="inlineStr">
        <is>
          <t>VÄXJÖ</t>
        </is>
      </c>
      <c r="H265" t="inlineStr">
        <is>
          <t>Kyrkan</t>
        </is>
      </c>
      <c r="I265" t="n">
        <v>3.6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9397-2023</t>
        </is>
      </c>
      <c r="B266" t="inlineStr">
        <is>
          <t>avverkningsanmälan</t>
        </is>
      </c>
      <c r="C266" t="inlineStr">
        <is>
          <t>Avverkning för annat ändamål</t>
        </is>
      </c>
      <c r="D266" s="1" t="n">
        <v>44981</v>
      </c>
      <c r="E266" s="1" t="n">
        <v>46314</v>
      </c>
      <c r="F266" t="inlineStr">
        <is>
          <t>KRONOBERGS LÄN</t>
        </is>
      </c>
      <c r="G266" t="inlineStr">
        <is>
          <t>VÄXJÖ</t>
        </is>
      </c>
      <c r="I266" t="n">
        <v>3.3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11519-2024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45372</v>
      </c>
      <c r="E267" s="1" t="n">
        <v>46314</v>
      </c>
      <c r="F267" t="inlineStr">
        <is>
          <t>KRONOBERGS LÄN</t>
        </is>
      </c>
      <c r="G267" t="inlineStr">
        <is>
          <t>VÄXJÖ</t>
        </is>
      </c>
      <c r="I267" t="n">
        <v>2.7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28096-2022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44746</v>
      </c>
      <c r="E268" s="1" t="n">
        <v>46314</v>
      </c>
      <c r="F268" t="inlineStr">
        <is>
          <t>KRONOBERGS LÄN</t>
        </is>
      </c>
      <c r="G268" t="inlineStr">
        <is>
          <t>VÄXJÖ</t>
        </is>
      </c>
      <c r="I268" t="n">
        <v>1.5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57367-2022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44896</v>
      </c>
      <c r="E269" s="1" t="n">
        <v>46314</v>
      </c>
      <c r="F269" t="inlineStr">
        <is>
          <t>KRONOBERGS LÄN</t>
        </is>
      </c>
      <c r="G269" t="inlineStr">
        <is>
          <t>VÄXJÖ</t>
        </is>
      </c>
      <c r="I269" t="n">
        <v>3.2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9177-2025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45714</v>
      </c>
      <c r="E270" s="1" t="n">
        <v>46314</v>
      </c>
      <c r="F270" t="inlineStr">
        <is>
          <t>KRONOBERGS LÄN</t>
        </is>
      </c>
      <c r="G270" t="inlineStr">
        <is>
          <t>VÄXJÖ</t>
        </is>
      </c>
      <c r="I270" t="n">
        <v>0.7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57444-2023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45246</v>
      </c>
      <c r="E271" s="1" t="n">
        <v>46314</v>
      </c>
      <c r="F271" t="inlineStr">
        <is>
          <t>KRONOBERGS LÄN</t>
        </is>
      </c>
      <c r="G271" t="inlineStr">
        <is>
          <t>VÄXJÖ</t>
        </is>
      </c>
      <c r="I271" t="n">
        <v>1.6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15218-2023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45019</v>
      </c>
      <c r="E272" s="1" t="n">
        <v>46314</v>
      </c>
      <c r="F272" t="inlineStr">
        <is>
          <t>KRONOBERGS LÄN</t>
        </is>
      </c>
      <c r="G272" t="inlineStr">
        <is>
          <t>VÄXJÖ</t>
        </is>
      </c>
      <c r="I272" t="n">
        <v>0.8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34636-2023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45140</v>
      </c>
      <c r="E273" s="1" t="n">
        <v>46314</v>
      </c>
      <c r="F273" t="inlineStr">
        <is>
          <t>KRONOBERGS LÄN</t>
        </is>
      </c>
      <c r="G273" t="inlineStr">
        <is>
          <t>VÄXJÖ</t>
        </is>
      </c>
      <c r="I273" t="n">
        <v>0.6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5272-2023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44959</v>
      </c>
      <c r="E274" s="1" t="n">
        <v>46314</v>
      </c>
      <c r="F274" t="inlineStr">
        <is>
          <t>KRONOBERGS LÄN</t>
        </is>
      </c>
      <c r="G274" t="inlineStr">
        <is>
          <t>VÄXJÖ</t>
        </is>
      </c>
      <c r="I274" t="n">
        <v>0.4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30680-2023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45112</v>
      </c>
      <c r="E275" s="1" t="n">
        <v>46314</v>
      </c>
      <c r="F275" t="inlineStr">
        <is>
          <t>KRONOBERGS LÄN</t>
        </is>
      </c>
      <c r="G275" t="inlineStr">
        <is>
          <t>VÄXJÖ</t>
        </is>
      </c>
      <c r="I275" t="n">
        <v>0.5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51196-2023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45219</v>
      </c>
      <c r="E276" s="1" t="n">
        <v>46314</v>
      </c>
      <c r="F276" t="inlineStr">
        <is>
          <t>KRONOBERGS LÄN</t>
        </is>
      </c>
      <c r="G276" t="inlineStr">
        <is>
          <t>VÄXJÖ</t>
        </is>
      </c>
      <c r="I276" t="n">
        <v>1.1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2914-2024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45315</v>
      </c>
      <c r="E277" s="1" t="n">
        <v>46314</v>
      </c>
      <c r="F277" t="inlineStr">
        <is>
          <t>KRONOBERGS LÄN</t>
        </is>
      </c>
      <c r="G277" t="inlineStr">
        <is>
          <t>VÄXJÖ</t>
        </is>
      </c>
      <c r="I277" t="n">
        <v>0.8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40074-2023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45168</v>
      </c>
      <c r="E278" s="1" t="n">
        <v>46314</v>
      </c>
      <c r="F278" t="inlineStr">
        <is>
          <t>KRONOBERGS LÄN</t>
        </is>
      </c>
      <c r="G278" t="inlineStr">
        <is>
          <t>VÄXJÖ</t>
        </is>
      </c>
      <c r="I278" t="n">
        <v>0.5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39395-2023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45166</v>
      </c>
      <c r="E279" s="1" t="n">
        <v>46314</v>
      </c>
      <c r="F279" t="inlineStr">
        <is>
          <t>KRONOBERGS LÄN</t>
        </is>
      </c>
      <c r="G279" t="inlineStr">
        <is>
          <t>VÄXJÖ</t>
        </is>
      </c>
      <c r="I279" t="n">
        <v>3.5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51659-2023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45222</v>
      </c>
      <c r="E280" s="1" t="n">
        <v>46314</v>
      </c>
      <c r="F280" t="inlineStr">
        <is>
          <t>KRONOBERGS LÄN</t>
        </is>
      </c>
      <c r="G280" t="inlineStr">
        <is>
          <t>VÄXJÖ</t>
        </is>
      </c>
      <c r="I280" t="n">
        <v>0.7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56947-2023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45244</v>
      </c>
      <c r="E281" s="1" t="n">
        <v>46314</v>
      </c>
      <c r="F281" t="inlineStr">
        <is>
          <t>KRONOBERGS LÄN</t>
        </is>
      </c>
      <c r="G281" t="inlineStr">
        <is>
          <t>VÄXJÖ</t>
        </is>
      </c>
      <c r="I281" t="n">
        <v>1.9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53189-2024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45611</v>
      </c>
      <c r="E282" s="1" t="n">
        <v>46314</v>
      </c>
      <c r="F282" t="inlineStr">
        <is>
          <t>KRONOBERGS LÄN</t>
        </is>
      </c>
      <c r="G282" t="inlineStr">
        <is>
          <t>VÄXJÖ</t>
        </is>
      </c>
      <c r="I282" t="n">
        <v>0.4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38457-2023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45162</v>
      </c>
      <c r="E283" s="1" t="n">
        <v>46314</v>
      </c>
      <c r="F283" t="inlineStr">
        <is>
          <t>KRONOBERGS LÄN</t>
        </is>
      </c>
      <c r="G283" t="inlineStr">
        <is>
          <t>VÄXJÖ</t>
        </is>
      </c>
      <c r="I283" t="n">
        <v>0.9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38460-2023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45162</v>
      </c>
      <c r="E284" s="1" t="n">
        <v>46314</v>
      </c>
      <c r="F284" t="inlineStr">
        <is>
          <t>KRONOBERGS LÄN</t>
        </is>
      </c>
      <c r="G284" t="inlineStr">
        <is>
          <t>VÄXJÖ</t>
        </is>
      </c>
      <c r="I284" t="n">
        <v>0.6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45514-2023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45194</v>
      </c>
      <c r="E285" s="1" t="n">
        <v>46314</v>
      </c>
      <c r="F285" t="inlineStr">
        <is>
          <t>KRONOBERGS LÄN</t>
        </is>
      </c>
      <c r="G285" t="inlineStr">
        <is>
          <t>VÄXJÖ</t>
        </is>
      </c>
      <c r="I285" t="n">
        <v>1.8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25961-2023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45090</v>
      </c>
      <c r="E286" s="1" t="n">
        <v>46314</v>
      </c>
      <c r="F286" t="inlineStr">
        <is>
          <t>KRONOBERGS LÄN</t>
        </is>
      </c>
      <c r="G286" t="inlineStr">
        <is>
          <t>VÄXJÖ</t>
        </is>
      </c>
      <c r="I286" t="n">
        <v>0.9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17511-2022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44679</v>
      </c>
      <c r="E287" s="1" t="n">
        <v>46314</v>
      </c>
      <c r="F287" t="inlineStr">
        <is>
          <t>KRONOBERGS LÄN</t>
        </is>
      </c>
      <c r="G287" t="inlineStr">
        <is>
          <t>VÄXJÖ</t>
        </is>
      </c>
      <c r="I287" t="n">
        <v>1.6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33391-2023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45128</v>
      </c>
      <c r="E288" s="1" t="n">
        <v>46314</v>
      </c>
      <c r="F288" t="inlineStr">
        <is>
          <t>KRONOBERGS LÄN</t>
        </is>
      </c>
      <c r="G288" t="inlineStr">
        <is>
          <t>VÄXJÖ</t>
        </is>
      </c>
      <c r="I288" t="n">
        <v>1.5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5760-2023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44963</v>
      </c>
      <c r="E289" s="1" t="n">
        <v>46314</v>
      </c>
      <c r="F289" t="inlineStr">
        <is>
          <t>KRONOBERGS LÄN</t>
        </is>
      </c>
      <c r="G289" t="inlineStr">
        <is>
          <t>VÄXJÖ</t>
        </is>
      </c>
      <c r="I289" t="n">
        <v>0.5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5761-2023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44963</v>
      </c>
      <c r="E290" s="1" t="n">
        <v>46314</v>
      </c>
      <c r="F290" t="inlineStr">
        <is>
          <t>KRONOBERGS LÄN</t>
        </is>
      </c>
      <c r="G290" t="inlineStr">
        <is>
          <t>VÄXJÖ</t>
        </is>
      </c>
      <c r="I290" t="n">
        <v>0.6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5764-2023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44963</v>
      </c>
      <c r="E291" s="1" t="n">
        <v>46314</v>
      </c>
      <c r="F291" t="inlineStr">
        <is>
          <t>KRONOBERGS LÄN</t>
        </is>
      </c>
      <c r="G291" t="inlineStr">
        <is>
          <t>VÄXJÖ</t>
        </is>
      </c>
      <c r="I291" t="n">
        <v>3.2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63910-2023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45278</v>
      </c>
      <c r="E292" s="1" t="n">
        <v>46314</v>
      </c>
      <c r="F292" t="inlineStr">
        <is>
          <t>KRONOBERGS LÄN</t>
        </is>
      </c>
      <c r="G292" t="inlineStr">
        <is>
          <t>VÄXJÖ</t>
        </is>
      </c>
      <c r="I292" t="n">
        <v>2.4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1469-2024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45304</v>
      </c>
      <c r="E293" s="1" t="n">
        <v>46314</v>
      </c>
      <c r="F293" t="inlineStr">
        <is>
          <t>KRONOBERGS LÄN</t>
        </is>
      </c>
      <c r="G293" t="inlineStr">
        <is>
          <t>VÄXJÖ</t>
        </is>
      </c>
      <c r="I293" t="n">
        <v>1.8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50503-2022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44866</v>
      </c>
      <c r="E294" s="1" t="n">
        <v>46314</v>
      </c>
      <c r="F294" t="inlineStr">
        <is>
          <t>KRONOBERGS LÄN</t>
        </is>
      </c>
      <c r="G294" t="inlineStr">
        <is>
          <t>VÄXJÖ</t>
        </is>
      </c>
      <c r="I294" t="n">
        <v>2.2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68473-2021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44529</v>
      </c>
      <c r="E295" s="1" t="n">
        <v>46314</v>
      </c>
      <c r="F295" t="inlineStr">
        <is>
          <t>KRONOBERGS LÄN</t>
        </is>
      </c>
      <c r="G295" t="inlineStr">
        <is>
          <t>VÄXJÖ</t>
        </is>
      </c>
      <c r="I295" t="n">
        <v>1.2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4457-2025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45686</v>
      </c>
      <c r="E296" s="1" t="n">
        <v>46314</v>
      </c>
      <c r="F296" t="inlineStr">
        <is>
          <t>KRONOBERGS LÄN</t>
        </is>
      </c>
      <c r="G296" t="inlineStr">
        <is>
          <t>VÄXJÖ</t>
        </is>
      </c>
      <c r="I296" t="n">
        <v>4.3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4468-2025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45686</v>
      </c>
      <c r="E297" s="1" t="n">
        <v>46314</v>
      </c>
      <c r="F297" t="inlineStr">
        <is>
          <t>KRONOBERGS LÄN</t>
        </is>
      </c>
      <c r="G297" t="inlineStr">
        <is>
          <t>VÄXJÖ</t>
        </is>
      </c>
      <c r="I297" t="n">
        <v>9.9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30436-2023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45111</v>
      </c>
      <c r="E298" s="1" t="n">
        <v>46314</v>
      </c>
      <c r="F298" t="inlineStr">
        <is>
          <t>KRONOBERGS LÄN</t>
        </is>
      </c>
      <c r="G298" t="inlineStr">
        <is>
          <t>VÄXJÖ</t>
        </is>
      </c>
      <c r="I298" t="n">
        <v>0.7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17283-2022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44678</v>
      </c>
      <c r="E299" s="1" t="n">
        <v>46314</v>
      </c>
      <c r="F299" t="inlineStr">
        <is>
          <t>KRONOBERGS LÄN</t>
        </is>
      </c>
      <c r="G299" t="inlineStr">
        <is>
          <t>VÄXJÖ</t>
        </is>
      </c>
      <c r="I299" t="n">
        <v>10.8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61055-2022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44915</v>
      </c>
      <c r="E300" s="1" t="n">
        <v>46314</v>
      </c>
      <c r="F300" t="inlineStr">
        <is>
          <t>KRONOBERGS LÄN</t>
        </is>
      </c>
      <c r="G300" t="inlineStr">
        <is>
          <t>VÄXJÖ</t>
        </is>
      </c>
      <c r="I300" t="n">
        <v>1.8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57159-2023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45245</v>
      </c>
      <c r="E301" s="1" t="n">
        <v>46314</v>
      </c>
      <c r="F301" t="inlineStr">
        <is>
          <t>KRONOBERGS LÄN</t>
        </is>
      </c>
      <c r="G301" t="inlineStr">
        <is>
          <t>VÄXJÖ</t>
        </is>
      </c>
      <c r="I301" t="n">
        <v>5.3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64193-2023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45279</v>
      </c>
      <c r="E302" s="1" t="n">
        <v>46314</v>
      </c>
      <c r="F302" t="inlineStr">
        <is>
          <t>KRONOBERGS LÄN</t>
        </is>
      </c>
      <c r="G302" t="inlineStr">
        <is>
          <t>VÄXJÖ</t>
        </is>
      </c>
      <c r="I302" t="n">
        <v>1.1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16594-2025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45753</v>
      </c>
      <c r="E303" s="1" t="n">
        <v>46314</v>
      </c>
      <c r="F303" t="inlineStr">
        <is>
          <t>KRONOBERGS LÄN</t>
        </is>
      </c>
      <c r="G303" t="inlineStr">
        <is>
          <t>VÄXJÖ</t>
        </is>
      </c>
      <c r="I303" t="n">
        <v>0.2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1470-2024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45304</v>
      </c>
      <c r="E304" s="1" t="n">
        <v>46314</v>
      </c>
      <c r="F304" t="inlineStr">
        <is>
          <t>KRONOBERGS LÄN</t>
        </is>
      </c>
      <c r="G304" t="inlineStr">
        <is>
          <t>VÄXJÖ</t>
        </is>
      </c>
      <c r="I304" t="n">
        <v>0.6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44860-2023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45190</v>
      </c>
      <c r="E305" s="1" t="n">
        <v>46314</v>
      </c>
      <c r="F305" t="inlineStr">
        <is>
          <t>KRONOBERGS LÄN</t>
        </is>
      </c>
      <c r="G305" t="inlineStr">
        <is>
          <t>VÄXJÖ</t>
        </is>
      </c>
      <c r="I305" t="n">
        <v>0.8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28983-2023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45104</v>
      </c>
      <c r="E306" s="1" t="n">
        <v>46314</v>
      </c>
      <c r="F306" t="inlineStr">
        <is>
          <t>KRONOBERGS LÄN</t>
        </is>
      </c>
      <c r="G306" t="inlineStr">
        <is>
          <t>VÄXJÖ</t>
        </is>
      </c>
      <c r="I306" t="n">
        <v>2.9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70676-2021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44537</v>
      </c>
      <c r="E307" s="1" t="n">
        <v>46314</v>
      </c>
      <c r="F307" t="inlineStr">
        <is>
          <t>KRONOBERGS LÄN</t>
        </is>
      </c>
      <c r="G307" t="inlineStr">
        <is>
          <t>VÄXJÖ</t>
        </is>
      </c>
      <c r="I307" t="n">
        <v>0.7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54757-2023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45236</v>
      </c>
      <c r="E308" s="1" t="n">
        <v>46314</v>
      </c>
      <c r="F308" t="inlineStr">
        <is>
          <t>KRONOBERGS LÄN</t>
        </is>
      </c>
      <c r="G308" t="inlineStr">
        <is>
          <t>VÄXJÖ</t>
        </is>
      </c>
      <c r="I308" t="n">
        <v>2.2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54759-2023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45236</v>
      </c>
      <c r="E309" s="1" t="n">
        <v>46314</v>
      </c>
      <c r="F309" t="inlineStr">
        <is>
          <t>KRONOBERGS LÄN</t>
        </is>
      </c>
      <c r="G309" t="inlineStr">
        <is>
          <t>VÄXJÖ</t>
        </is>
      </c>
      <c r="I309" t="n">
        <v>5.5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32487-2023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45121</v>
      </c>
      <c r="E310" s="1" t="n">
        <v>46314</v>
      </c>
      <c r="F310" t="inlineStr">
        <is>
          <t>KRONOBERGS LÄN</t>
        </is>
      </c>
      <c r="G310" t="inlineStr">
        <is>
          <t>VÄXJÖ</t>
        </is>
      </c>
      <c r="I310" t="n">
        <v>0.4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32492-2023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45121</v>
      </c>
      <c r="E311" s="1" t="n">
        <v>46314</v>
      </c>
      <c r="F311" t="inlineStr">
        <is>
          <t>KRONOBERGS LÄN</t>
        </is>
      </c>
      <c r="G311" t="inlineStr">
        <is>
          <t>VÄXJÖ</t>
        </is>
      </c>
      <c r="I311" t="n">
        <v>1.4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32496-2023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45121</v>
      </c>
      <c r="E312" s="1" t="n">
        <v>46314</v>
      </c>
      <c r="F312" t="inlineStr">
        <is>
          <t>KRONOBERGS LÄN</t>
        </is>
      </c>
      <c r="G312" t="inlineStr">
        <is>
          <t>VÄXJÖ</t>
        </is>
      </c>
      <c r="I312" t="n">
        <v>1.7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3365-2024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45317</v>
      </c>
      <c r="E313" s="1" t="n">
        <v>46314</v>
      </c>
      <c r="F313" t="inlineStr">
        <is>
          <t>KRONOBERGS LÄN</t>
        </is>
      </c>
      <c r="G313" t="inlineStr">
        <is>
          <t>VÄXJÖ</t>
        </is>
      </c>
      <c r="I313" t="n">
        <v>1.1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3565-2023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44950</v>
      </c>
      <c r="E314" s="1" t="n">
        <v>46314</v>
      </c>
      <c r="F314" t="inlineStr">
        <is>
          <t>KRONOBERGS LÄN</t>
        </is>
      </c>
      <c r="G314" t="inlineStr">
        <is>
          <t>VÄXJÖ</t>
        </is>
      </c>
      <c r="I314" t="n">
        <v>1.1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59366-2024</t>
        </is>
      </c>
      <c r="B315" t="inlineStr">
        <is>
          <t>avverkningsanmälan</t>
        </is>
      </c>
      <c r="C315" t="inlineStr">
        <is>
          <t>Avverkning för annat ändamål</t>
        </is>
      </c>
      <c r="D315" s="1" t="n">
        <v>45638</v>
      </c>
      <c r="E315" s="1" t="n">
        <v>46314</v>
      </c>
      <c r="F315" t="inlineStr">
        <is>
          <t>KRONOBERGS LÄN</t>
        </is>
      </c>
      <c r="G315" t="inlineStr">
        <is>
          <t>VÄXJÖ</t>
        </is>
      </c>
      <c r="I315" t="n">
        <v>1.2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40210-2023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45169</v>
      </c>
      <c r="E316" s="1" t="n">
        <v>46314</v>
      </c>
      <c r="F316" t="inlineStr">
        <is>
          <t>KRONOBERGS LÄN</t>
        </is>
      </c>
      <c r="G316" t="inlineStr">
        <is>
          <t>VÄXJÖ</t>
        </is>
      </c>
      <c r="I316" t="n">
        <v>0.7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17504-2023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45036</v>
      </c>
      <c r="E317" s="1" t="n">
        <v>46314</v>
      </c>
      <c r="F317" t="inlineStr">
        <is>
          <t>KRONOBERGS LÄN</t>
        </is>
      </c>
      <c r="G317" t="inlineStr">
        <is>
          <t>VÄXJÖ</t>
        </is>
      </c>
      <c r="I317" t="n">
        <v>2.9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19111-2023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45048</v>
      </c>
      <c r="E318" s="1" t="n">
        <v>46314</v>
      </c>
      <c r="F318" t="inlineStr">
        <is>
          <t>KRONOBERGS LÄN</t>
        </is>
      </c>
      <c r="G318" t="inlineStr">
        <is>
          <t>VÄXJÖ</t>
        </is>
      </c>
      <c r="I318" t="n">
        <v>2.4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56172-2023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45240</v>
      </c>
      <c r="E319" s="1" t="n">
        <v>46314</v>
      </c>
      <c r="F319" t="inlineStr">
        <is>
          <t>KRONOBERGS LÄN</t>
        </is>
      </c>
      <c r="G319" t="inlineStr">
        <is>
          <t>VÄXJÖ</t>
        </is>
      </c>
      <c r="I319" t="n">
        <v>1.2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25626-2024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45463</v>
      </c>
      <c r="E320" s="1" t="n">
        <v>46314</v>
      </c>
      <c r="F320" t="inlineStr">
        <is>
          <t>KRONOBERGS LÄN</t>
        </is>
      </c>
      <c r="G320" t="inlineStr">
        <is>
          <t>VÄXJÖ</t>
        </is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36939-2023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45154</v>
      </c>
      <c r="E321" s="1" t="n">
        <v>46314</v>
      </c>
      <c r="F321" t="inlineStr">
        <is>
          <t>KRONOBERGS LÄN</t>
        </is>
      </c>
      <c r="G321" t="inlineStr">
        <is>
          <t>VÄXJÖ</t>
        </is>
      </c>
      <c r="I321" t="n">
        <v>0.9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53713-2023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45230</v>
      </c>
      <c r="E322" s="1" t="n">
        <v>46314</v>
      </c>
      <c r="F322" t="inlineStr">
        <is>
          <t>KRONOBERGS LÄN</t>
        </is>
      </c>
      <c r="G322" t="inlineStr">
        <is>
          <t>VÄXJÖ</t>
        </is>
      </c>
      <c r="I322" t="n">
        <v>0.5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9389-2025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45715</v>
      </c>
      <c r="E323" s="1" t="n">
        <v>46314</v>
      </c>
      <c r="F323" t="inlineStr">
        <is>
          <t>KRONOBERGS LÄN</t>
        </is>
      </c>
      <c r="G323" t="inlineStr">
        <is>
          <t>VÄXJÖ</t>
        </is>
      </c>
      <c r="I323" t="n">
        <v>1.8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19152-2025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45769</v>
      </c>
      <c r="E324" s="1" t="n">
        <v>46314</v>
      </c>
      <c r="F324" t="inlineStr">
        <is>
          <t>KRONOBERGS LÄN</t>
        </is>
      </c>
      <c r="G324" t="inlineStr">
        <is>
          <t>VÄXJÖ</t>
        </is>
      </c>
      <c r="I324" t="n">
        <v>2.9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4646-2024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45328</v>
      </c>
      <c r="E325" s="1" t="n">
        <v>46314</v>
      </c>
      <c r="F325" t="inlineStr">
        <is>
          <t>KRONOBERGS LÄN</t>
        </is>
      </c>
      <c r="G325" t="inlineStr">
        <is>
          <t>VÄXJÖ</t>
        </is>
      </c>
      <c r="I325" t="n">
        <v>1.5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4653-2024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45328</v>
      </c>
      <c r="E326" s="1" t="n">
        <v>46314</v>
      </c>
      <c r="F326" t="inlineStr">
        <is>
          <t>KRONOBERGS LÄN</t>
        </is>
      </c>
      <c r="G326" t="inlineStr">
        <is>
          <t>VÄXJÖ</t>
        </is>
      </c>
      <c r="I326" t="n">
        <v>2.5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45445-2023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45194</v>
      </c>
      <c r="E327" s="1" t="n">
        <v>46314</v>
      </c>
      <c r="F327" t="inlineStr">
        <is>
          <t>KRONOBERGS LÄN</t>
        </is>
      </c>
      <c r="G327" t="inlineStr">
        <is>
          <t>VÄXJÖ</t>
        </is>
      </c>
      <c r="I327" t="n">
        <v>1.5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62191-2022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44922</v>
      </c>
      <c r="E328" s="1" t="n">
        <v>46314</v>
      </c>
      <c r="F328" t="inlineStr">
        <is>
          <t>KRONOBERGS LÄN</t>
        </is>
      </c>
      <c r="G328" t="inlineStr">
        <is>
          <t>VÄXJÖ</t>
        </is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58155-2024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45632</v>
      </c>
      <c r="E329" s="1" t="n">
        <v>46314</v>
      </c>
      <c r="F329" t="inlineStr">
        <is>
          <t>KRONOBERGS LÄN</t>
        </is>
      </c>
      <c r="G329" t="inlineStr">
        <is>
          <t>VÄXJÖ</t>
        </is>
      </c>
      <c r="I329" t="n">
        <v>4.9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22201-2024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45446</v>
      </c>
      <c r="E330" s="1" t="n">
        <v>46314</v>
      </c>
      <c r="F330" t="inlineStr">
        <is>
          <t>KRONOBERGS LÄN</t>
        </is>
      </c>
      <c r="G330" t="inlineStr">
        <is>
          <t>VÄXJÖ</t>
        </is>
      </c>
      <c r="I330" t="n">
        <v>3.5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21231-2023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45058</v>
      </c>
      <c r="E331" s="1" t="n">
        <v>46314</v>
      </c>
      <c r="F331" t="inlineStr">
        <is>
          <t>KRONOBERGS LÄN</t>
        </is>
      </c>
      <c r="G331" t="inlineStr">
        <is>
          <t>VÄXJÖ</t>
        </is>
      </c>
      <c r="I331" t="n">
        <v>0.7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59867-2022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44908</v>
      </c>
      <c r="E332" s="1" t="n">
        <v>46314</v>
      </c>
      <c r="F332" t="inlineStr">
        <is>
          <t>KRONOBERGS LÄN</t>
        </is>
      </c>
      <c r="G332" t="inlineStr">
        <is>
          <t>VÄXJÖ</t>
        </is>
      </c>
      <c r="I332" t="n">
        <v>0.8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53196-2024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45611</v>
      </c>
      <c r="E333" s="1" t="n">
        <v>46314</v>
      </c>
      <c r="F333" t="inlineStr">
        <is>
          <t>KRONOBERGS LÄN</t>
        </is>
      </c>
      <c r="G333" t="inlineStr">
        <is>
          <t>VÄXJÖ</t>
        </is>
      </c>
      <c r="I333" t="n">
        <v>0.6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49000-2024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45594</v>
      </c>
      <c r="E334" s="1" t="n">
        <v>46314</v>
      </c>
      <c r="F334" t="inlineStr">
        <is>
          <t>KRONOBERGS LÄN</t>
        </is>
      </c>
      <c r="G334" t="inlineStr">
        <is>
          <t>VÄXJÖ</t>
        </is>
      </c>
      <c r="H334" t="inlineStr">
        <is>
          <t>Sveaskog</t>
        </is>
      </c>
      <c r="I334" t="n">
        <v>2.8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64715-2023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45281</v>
      </c>
      <c r="E335" s="1" t="n">
        <v>46314</v>
      </c>
      <c r="F335" t="inlineStr">
        <is>
          <t>KRONOBERGS LÄN</t>
        </is>
      </c>
      <c r="G335" t="inlineStr">
        <is>
          <t>VÄXJÖ</t>
        </is>
      </c>
      <c r="I335" t="n">
        <v>1.4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38346-2025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45883</v>
      </c>
      <c r="E336" s="1" t="n">
        <v>46314</v>
      </c>
      <c r="F336" t="inlineStr">
        <is>
          <t>KRONOBERGS LÄN</t>
        </is>
      </c>
      <c r="G336" t="inlineStr">
        <is>
          <t>VÄXJÖ</t>
        </is>
      </c>
      <c r="I336" t="n">
        <v>2.6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63485-2023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45274</v>
      </c>
      <c r="E337" s="1" t="n">
        <v>46314</v>
      </c>
      <c r="F337" t="inlineStr">
        <is>
          <t>KRONOBERGS LÄN</t>
        </is>
      </c>
      <c r="G337" t="inlineStr">
        <is>
          <t>VÄXJÖ</t>
        </is>
      </c>
      <c r="I337" t="n">
        <v>2.8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38425-2025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45883</v>
      </c>
      <c r="E338" s="1" t="n">
        <v>46314</v>
      </c>
      <c r="F338" t="inlineStr">
        <is>
          <t>KRONOBERGS LÄN</t>
        </is>
      </c>
      <c r="G338" t="inlineStr">
        <is>
          <t>VÄXJÖ</t>
        </is>
      </c>
      <c r="I338" t="n">
        <v>1.3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38433-2025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45883</v>
      </c>
      <c r="E339" s="1" t="n">
        <v>46314</v>
      </c>
      <c r="F339" t="inlineStr">
        <is>
          <t>KRONOBERGS LÄN</t>
        </is>
      </c>
      <c r="G339" t="inlineStr">
        <is>
          <t>VÄXJÖ</t>
        </is>
      </c>
      <c r="I339" t="n">
        <v>1.7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30374-2025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45827</v>
      </c>
      <c r="E340" s="1" t="n">
        <v>46314</v>
      </c>
      <c r="F340" t="inlineStr">
        <is>
          <t>KRONOBERGS LÄN</t>
        </is>
      </c>
      <c r="G340" t="inlineStr">
        <is>
          <t>VÄXJÖ</t>
        </is>
      </c>
      <c r="I340" t="n">
        <v>1.3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59477-2024</t>
        </is>
      </c>
      <c r="B341" t="inlineStr">
        <is>
          <t>avverkningsanmälan</t>
        </is>
      </c>
      <c r="C341" t="inlineStr">
        <is>
          <t>Avverkning för att bevara och utveckla /försöksver</t>
        </is>
      </c>
      <c r="D341" s="1" t="n">
        <v>45638</v>
      </c>
      <c r="E341" s="1" t="n">
        <v>46314</v>
      </c>
      <c r="F341" t="inlineStr">
        <is>
          <t>KRONOBERGS LÄN</t>
        </is>
      </c>
      <c r="G341" t="inlineStr">
        <is>
          <t>VÄXJÖ</t>
        </is>
      </c>
      <c r="I341" t="n">
        <v>1.7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14868-2025</t>
        </is>
      </c>
      <c r="B342" t="inlineStr">
        <is>
          <t>avverkningsanmälan</t>
        </is>
      </c>
      <c r="C342" t="inlineStr">
        <is>
          <t>Avverkning för annat ändamål</t>
        </is>
      </c>
      <c r="D342" s="1" t="n">
        <v>45743</v>
      </c>
      <c r="E342" s="1" t="n">
        <v>46314</v>
      </c>
      <c r="F342" t="inlineStr">
        <is>
          <t>KRONOBERGS LÄN</t>
        </is>
      </c>
      <c r="G342" t="inlineStr">
        <is>
          <t>VÄXJÖ</t>
        </is>
      </c>
      <c r="I342" t="n">
        <v>2.8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23228-2025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45791</v>
      </c>
      <c r="E343" s="1" t="n">
        <v>46314</v>
      </c>
      <c r="F343" t="inlineStr">
        <is>
          <t>KRONOBERGS LÄN</t>
        </is>
      </c>
      <c r="G343" t="inlineStr">
        <is>
          <t>VÄXJÖ</t>
        </is>
      </c>
      <c r="I343" t="n">
        <v>1.9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1643-2025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45670</v>
      </c>
      <c r="E344" s="1" t="n">
        <v>46314</v>
      </c>
      <c r="F344" t="inlineStr">
        <is>
          <t>KRONOBERGS LÄN</t>
        </is>
      </c>
      <c r="G344" t="inlineStr">
        <is>
          <t>VÄXJÖ</t>
        </is>
      </c>
      <c r="I344" t="n">
        <v>12.9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31571-2025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45833</v>
      </c>
      <c r="E345" s="1" t="n">
        <v>46314</v>
      </c>
      <c r="F345" t="inlineStr">
        <is>
          <t>KRONOBERGS LÄN</t>
        </is>
      </c>
      <c r="G345" t="inlineStr">
        <is>
          <t>VÄXJÖ</t>
        </is>
      </c>
      <c r="I345" t="n">
        <v>2.5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47088-2023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45201</v>
      </c>
      <c r="E346" s="1" t="n">
        <v>46314</v>
      </c>
      <c r="F346" t="inlineStr">
        <is>
          <t>KRONOBERGS LÄN</t>
        </is>
      </c>
      <c r="G346" t="inlineStr">
        <is>
          <t>VÄXJÖ</t>
        </is>
      </c>
      <c r="I346" t="n">
        <v>1.5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21526-2025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45782</v>
      </c>
      <c r="E347" s="1" t="n">
        <v>46314</v>
      </c>
      <c r="F347" t="inlineStr">
        <is>
          <t>KRONOBERGS LÄN</t>
        </is>
      </c>
      <c r="G347" t="inlineStr">
        <is>
          <t>VÄXJÖ</t>
        </is>
      </c>
      <c r="I347" t="n">
        <v>1.6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64292-2023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45280</v>
      </c>
      <c r="E348" s="1" t="n">
        <v>46314</v>
      </c>
      <c r="F348" t="inlineStr">
        <is>
          <t>KRONOBERGS LÄN</t>
        </is>
      </c>
      <c r="G348" t="inlineStr">
        <is>
          <t>VÄXJÖ</t>
        </is>
      </c>
      <c r="I348" t="n">
        <v>2.8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42983-2025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45909</v>
      </c>
      <c r="E349" s="1" t="n">
        <v>46314</v>
      </c>
      <c r="F349" t="inlineStr">
        <is>
          <t>KRONOBERGS LÄN</t>
        </is>
      </c>
      <c r="G349" t="inlineStr">
        <is>
          <t>VÄXJÖ</t>
        </is>
      </c>
      <c r="I349" t="n">
        <v>2.1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64685-2023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45281</v>
      </c>
      <c r="E350" s="1" t="n">
        <v>46314</v>
      </c>
      <c r="F350" t="inlineStr">
        <is>
          <t>KRONOBERGS LÄN</t>
        </is>
      </c>
      <c r="G350" t="inlineStr">
        <is>
          <t>VÄXJÖ</t>
        </is>
      </c>
      <c r="I350" t="n">
        <v>2.4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52564-2023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45225</v>
      </c>
      <c r="E351" s="1" t="n">
        <v>46314</v>
      </c>
      <c r="F351" t="inlineStr">
        <is>
          <t>KRONOBERGS LÄN</t>
        </is>
      </c>
      <c r="G351" t="inlineStr">
        <is>
          <t>VÄXJÖ</t>
        </is>
      </c>
      <c r="I351" t="n">
        <v>3.3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33204-2023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45127</v>
      </c>
      <c r="E352" s="1" t="n">
        <v>46314</v>
      </c>
      <c r="F352" t="inlineStr">
        <is>
          <t>KRONOBERGS LÄN</t>
        </is>
      </c>
      <c r="G352" t="inlineStr">
        <is>
          <t>VÄXJÖ</t>
        </is>
      </c>
      <c r="I352" t="n">
        <v>3.4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20411-2025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45775</v>
      </c>
      <c r="E353" s="1" t="n">
        <v>46314</v>
      </c>
      <c r="F353" t="inlineStr">
        <is>
          <t>KRONOBERGS LÄN</t>
        </is>
      </c>
      <c r="G353" t="inlineStr">
        <is>
          <t>VÄXJÖ</t>
        </is>
      </c>
      <c r="I353" t="n">
        <v>4.4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32007-2025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45835</v>
      </c>
      <c r="E354" s="1" t="n">
        <v>46314</v>
      </c>
      <c r="F354" t="inlineStr">
        <is>
          <t>KRONOBERGS LÄN</t>
        </is>
      </c>
      <c r="G354" t="inlineStr">
        <is>
          <t>VÄXJÖ</t>
        </is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16590-2023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45030</v>
      </c>
      <c r="E355" s="1" t="n">
        <v>46314</v>
      </c>
      <c r="F355" t="inlineStr">
        <is>
          <t>KRONOBERGS LÄN</t>
        </is>
      </c>
      <c r="G355" t="inlineStr">
        <is>
          <t>VÄXJÖ</t>
        </is>
      </c>
      <c r="I355" t="n">
        <v>3.2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49068-2023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45210</v>
      </c>
      <c r="E356" s="1" t="n">
        <v>46314</v>
      </c>
      <c r="F356" t="inlineStr">
        <is>
          <t>KRONOBERGS LÄN</t>
        </is>
      </c>
      <c r="G356" t="inlineStr">
        <is>
          <t>VÄXJÖ</t>
        </is>
      </c>
      <c r="I356" t="n">
        <v>1.8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53685-2022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44880</v>
      </c>
      <c r="E357" s="1" t="n">
        <v>46314</v>
      </c>
      <c r="F357" t="inlineStr">
        <is>
          <t>KRONOBERGS LÄN</t>
        </is>
      </c>
      <c r="G357" t="inlineStr">
        <is>
          <t>VÄXJÖ</t>
        </is>
      </c>
      <c r="I357" t="n">
        <v>5.3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33713-2025</t>
        </is>
      </c>
      <c r="B358" t="inlineStr">
        <is>
          <t>avverkningsanmälan</t>
        </is>
      </c>
      <c r="C358" t="inlineStr">
        <is>
          <t>Avverkning för annat ändamål</t>
        </is>
      </c>
      <c r="D358" s="1" t="n">
        <v>45841</v>
      </c>
      <c r="E358" s="1" t="n">
        <v>46314</v>
      </c>
      <c r="F358" t="inlineStr">
        <is>
          <t>KRONOBERGS LÄN</t>
        </is>
      </c>
      <c r="G358" t="inlineStr">
        <is>
          <t>VÄXJÖ</t>
        </is>
      </c>
      <c r="I358" t="n">
        <v>2.2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30130-2025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45826</v>
      </c>
      <c r="E359" s="1" t="n">
        <v>46314</v>
      </c>
      <c r="F359" t="inlineStr">
        <is>
          <t>KRONOBERGS LÄN</t>
        </is>
      </c>
      <c r="G359" t="inlineStr">
        <is>
          <t>VÄXJÖ</t>
        </is>
      </c>
      <c r="H359" t="inlineStr">
        <is>
          <t>Kyrkan</t>
        </is>
      </c>
      <c r="I359" t="n">
        <v>4.4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53552-2025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45960</v>
      </c>
      <c r="E360" s="1" t="n">
        <v>46314</v>
      </c>
      <c r="F360" t="inlineStr">
        <is>
          <t>KRONOBERGS LÄN</t>
        </is>
      </c>
      <c r="G360" t="inlineStr">
        <is>
          <t>VÄXJÖ</t>
        </is>
      </c>
      <c r="I360" t="n">
        <v>1.1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30789-2023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45112</v>
      </c>
      <c r="E361" s="1" t="n">
        <v>46314</v>
      </c>
      <c r="F361" t="inlineStr">
        <is>
          <t>KRONOBERGS LÄN</t>
        </is>
      </c>
      <c r="G361" t="inlineStr">
        <is>
          <t>VÄXJÖ</t>
        </is>
      </c>
      <c r="I361" t="n">
        <v>0.7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6487-2023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44966</v>
      </c>
      <c r="E362" s="1" t="n">
        <v>46314</v>
      </c>
      <c r="F362" t="inlineStr">
        <is>
          <t>KRONOBERGS LÄN</t>
        </is>
      </c>
      <c r="G362" t="inlineStr">
        <is>
          <t>VÄXJÖ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18813-2024</t>
        </is>
      </c>
      <c r="B363" t="inlineStr">
        <is>
          <t>avverkningsanmälan</t>
        </is>
      </c>
      <c r="C363" t="inlineStr">
        <is>
          <t>Avverkning för annat ändamål</t>
        </is>
      </c>
      <c r="D363" s="1" t="n">
        <v>45426</v>
      </c>
      <c r="E363" s="1" t="n">
        <v>46314</v>
      </c>
      <c r="F363" t="inlineStr">
        <is>
          <t>KRONOBERGS LÄN</t>
        </is>
      </c>
      <c r="G363" t="inlineStr">
        <is>
          <t>VÄXJÖ</t>
        </is>
      </c>
      <c r="I363" t="n">
        <v>2.3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13447-2024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45387</v>
      </c>
      <c r="E364" s="1" t="n">
        <v>46314</v>
      </c>
      <c r="F364" t="inlineStr">
        <is>
          <t>KRONOBERGS LÄN</t>
        </is>
      </c>
      <c r="G364" t="inlineStr">
        <is>
          <t>VÄXJÖ</t>
        </is>
      </c>
      <c r="I364" t="n">
        <v>2.4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41500-2024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45560</v>
      </c>
      <c r="E365" s="1" t="n">
        <v>46314</v>
      </c>
      <c r="F365" t="inlineStr">
        <is>
          <t>KRONOBERGS LÄN</t>
        </is>
      </c>
      <c r="G365" t="inlineStr">
        <is>
          <t>VÄXJÖ</t>
        </is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26980-2023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45091</v>
      </c>
      <c r="E366" s="1" t="n">
        <v>46314</v>
      </c>
      <c r="F366" t="inlineStr">
        <is>
          <t>KRONOBERGS LÄN</t>
        </is>
      </c>
      <c r="G366" t="inlineStr">
        <is>
          <t>VÄXJÖ</t>
        </is>
      </c>
      <c r="H366" t="inlineStr">
        <is>
          <t>Kyrkan</t>
        </is>
      </c>
      <c r="I366" t="n">
        <v>4.4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58060-2021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44487</v>
      </c>
      <c r="E367" s="1" t="n">
        <v>46314</v>
      </c>
      <c r="F367" t="inlineStr">
        <is>
          <t>KRONOBERGS LÄN</t>
        </is>
      </c>
      <c r="G367" t="inlineStr">
        <is>
          <t>VÄXJÖ</t>
        </is>
      </c>
      <c r="I367" t="n">
        <v>2.7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27096-2022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44741</v>
      </c>
      <c r="E368" s="1" t="n">
        <v>46314</v>
      </c>
      <c r="F368" t="inlineStr">
        <is>
          <t>KRONOBERGS LÄN</t>
        </is>
      </c>
      <c r="G368" t="inlineStr">
        <is>
          <t>VÄXJÖ</t>
        </is>
      </c>
      <c r="I368" t="n">
        <v>2.3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27097-2022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44741</v>
      </c>
      <c r="E369" s="1" t="n">
        <v>46314</v>
      </c>
      <c r="F369" t="inlineStr">
        <is>
          <t>KRONOBERGS LÄN</t>
        </is>
      </c>
      <c r="G369" t="inlineStr">
        <is>
          <t>VÄXJÖ</t>
        </is>
      </c>
      <c r="I369" t="n">
        <v>1.7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64603-2023</t>
        </is>
      </c>
      <c r="B370" t="inlineStr">
        <is>
          <t>avverkningsanmälan</t>
        </is>
      </c>
      <c r="C370" t="inlineStr">
        <is>
          <t>Avverkning för annat ändamål</t>
        </is>
      </c>
      <c r="D370" s="1" t="n">
        <v>45281</v>
      </c>
      <c r="E370" s="1" t="n">
        <v>46314</v>
      </c>
      <c r="F370" t="inlineStr">
        <is>
          <t>KRONOBERGS LÄN</t>
        </is>
      </c>
      <c r="G370" t="inlineStr">
        <is>
          <t>VÄXJÖ</t>
        </is>
      </c>
      <c r="I370" t="n">
        <v>1.3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42367-2025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45905</v>
      </c>
      <c r="E371" s="1" t="n">
        <v>46314</v>
      </c>
      <c r="F371" t="inlineStr">
        <is>
          <t>KRONOBERGS LÄN</t>
        </is>
      </c>
      <c r="G371" t="inlineStr">
        <is>
          <t>VÄXJÖ</t>
        </is>
      </c>
      <c r="I371" t="n">
        <v>1.3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9821-2025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45715</v>
      </c>
      <c r="E372" s="1" t="n">
        <v>46314</v>
      </c>
      <c r="F372" t="inlineStr">
        <is>
          <t>KRONOBERGS LÄN</t>
        </is>
      </c>
      <c r="G372" t="inlineStr">
        <is>
          <t>VÄXJÖ</t>
        </is>
      </c>
      <c r="H372" t="inlineStr">
        <is>
          <t>Kyrkan</t>
        </is>
      </c>
      <c r="I372" t="n">
        <v>0.8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18694-2022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44687</v>
      </c>
      <c r="E373" s="1" t="n">
        <v>46314</v>
      </c>
      <c r="F373" t="inlineStr">
        <is>
          <t>KRONOBERGS LÄN</t>
        </is>
      </c>
      <c r="G373" t="inlineStr">
        <is>
          <t>VÄXJÖ</t>
        </is>
      </c>
      <c r="I373" t="n">
        <v>1.4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34345-2025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45846</v>
      </c>
      <c r="E374" s="1" t="n">
        <v>46314</v>
      </c>
      <c r="F374" t="inlineStr">
        <is>
          <t>KRONOBERGS LÄN</t>
        </is>
      </c>
      <c r="G374" t="inlineStr">
        <is>
          <t>VÄXJÖ</t>
        </is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72857-2021</t>
        </is>
      </c>
      <c r="B375" t="inlineStr">
        <is>
          <t>avverkningsanmälan</t>
        </is>
      </c>
      <c r="C375" t="inlineStr">
        <is>
          <t>Avverkning för annat ändamål</t>
        </is>
      </c>
      <c r="D375" s="1" t="n">
        <v>44547</v>
      </c>
      <c r="E375" s="1" t="n">
        <v>46314</v>
      </c>
      <c r="F375" t="inlineStr">
        <is>
          <t>KRONOBERGS LÄN</t>
        </is>
      </c>
      <c r="G375" t="inlineStr">
        <is>
          <t>VÄXJÖ</t>
        </is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39712-2025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45890</v>
      </c>
      <c r="E376" s="1" t="n">
        <v>46314</v>
      </c>
      <c r="F376" t="inlineStr">
        <is>
          <t>KRONOBERGS LÄN</t>
        </is>
      </c>
      <c r="G376" t="inlineStr">
        <is>
          <t>VÄXJÖ</t>
        </is>
      </c>
      <c r="I376" t="n">
        <v>4.8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40317-2025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45895</v>
      </c>
      <c r="E377" s="1" t="n">
        <v>46314</v>
      </c>
      <c r="F377" t="inlineStr">
        <is>
          <t>KRONOBERGS LÄN</t>
        </is>
      </c>
      <c r="G377" t="inlineStr">
        <is>
          <t>VÄXJÖ</t>
        </is>
      </c>
      <c r="I377" t="n">
        <v>0.5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40058-2025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45894</v>
      </c>
      <c r="E378" s="1" t="n">
        <v>46314</v>
      </c>
      <c r="F378" t="inlineStr">
        <is>
          <t>KRONOBERGS LÄN</t>
        </is>
      </c>
      <c r="G378" t="inlineStr">
        <is>
          <t>VÄXJÖ</t>
        </is>
      </c>
      <c r="I378" t="n">
        <v>0.5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38172-2023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45161</v>
      </c>
      <c r="E379" s="1" t="n">
        <v>46314</v>
      </c>
      <c r="F379" t="inlineStr">
        <is>
          <t>KRONOBERGS LÄN</t>
        </is>
      </c>
      <c r="G379" t="inlineStr">
        <is>
          <t>VÄXJÖ</t>
        </is>
      </c>
      <c r="I379" t="n">
        <v>1.1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20621-2024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45436</v>
      </c>
      <c r="E380" s="1" t="n">
        <v>46314</v>
      </c>
      <c r="F380" t="inlineStr">
        <is>
          <t>KRONOBERGS LÄN</t>
        </is>
      </c>
      <c r="G380" t="inlineStr">
        <is>
          <t>VÄXJÖ</t>
        </is>
      </c>
      <c r="I380" t="n">
        <v>1.6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60621-2023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45260</v>
      </c>
      <c r="E381" s="1" t="n">
        <v>46314</v>
      </c>
      <c r="F381" t="inlineStr">
        <is>
          <t>KRONOBERGS LÄN</t>
        </is>
      </c>
      <c r="G381" t="inlineStr">
        <is>
          <t>VÄXJÖ</t>
        </is>
      </c>
      <c r="I381" t="n">
        <v>1.7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56213-2023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45240</v>
      </c>
      <c r="E382" s="1" t="n">
        <v>46314</v>
      </c>
      <c r="F382" t="inlineStr">
        <is>
          <t>KRONOBERGS LÄN</t>
        </is>
      </c>
      <c r="G382" t="inlineStr">
        <is>
          <t>VÄXJÖ</t>
        </is>
      </c>
      <c r="I382" t="n">
        <v>1.6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35534-2025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45856</v>
      </c>
      <c r="E383" s="1" t="n">
        <v>46314</v>
      </c>
      <c r="F383" t="inlineStr">
        <is>
          <t>KRONOBERGS LÄN</t>
        </is>
      </c>
      <c r="G383" t="inlineStr">
        <is>
          <t>VÄXJÖ</t>
        </is>
      </c>
      <c r="I383" t="n">
        <v>1.8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35868-2023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45148</v>
      </c>
      <c r="E384" s="1" t="n">
        <v>46314</v>
      </c>
      <c r="F384" t="inlineStr">
        <is>
          <t>KRONOBERGS LÄN</t>
        </is>
      </c>
      <c r="G384" t="inlineStr">
        <is>
          <t>VÄXJÖ</t>
        </is>
      </c>
      <c r="I384" t="n">
        <v>2.8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35876-2023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45148</v>
      </c>
      <c r="E385" s="1" t="n">
        <v>46314</v>
      </c>
      <c r="F385" t="inlineStr">
        <is>
          <t>KRONOBERGS LÄN</t>
        </is>
      </c>
      <c r="G385" t="inlineStr">
        <is>
          <t>VÄXJÖ</t>
        </is>
      </c>
      <c r="I385" t="n">
        <v>2.8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6271-2025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45698</v>
      </c>
      <c r="E386" s="1" t="n">
        <v>46314</v>
      </c>
      <c r="F386" t="inlineStr">
        <is>
          <t>KRONOBERGS LÄN</t>
        </is>
      </c>
      <c r="G386" t="inlineStr">
        <is>
          <t>VÄXJÖ</t>
        </is>
      </c>
      <c r="I386" t="n">
        <v>1.7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72429-2021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44545</v>
      </c>
      <c r="E387" s="1" t="n">
        <v>46314</v>
      </c>
      <c r="F387" t="inlineStr">
        <is>
          <t>KRONOBERGS LÄN</t>
        </is>
      </c>
      <c r="G387" t="inlineStr">
        <is>
          <t>VÄXJÖ</t>
        </is>
      </c>
      <c r="I387" t="n">
        <v>2.6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40875-2025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45897</v>
      </c>
      <c r="E388" s="1" t="n">
        <v>46314</v>
      </c>
      <c r="F388" t="inlineStr">
        <is>
          <t>KRONOBERGS LÄN</t>
        </is>
      </c>
      <c r="G388" t="inlineStr">
        <is>
          <t>VÄXJÖ</t>
        </is>
      </c>
      <c r="H388" t="inlineStr">
        <is>
          <t>Sveaskog</t>
        </is>
      </c>
      <c r="I388" t="n">
        <v>1.7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26085-2023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45091</v>
      </c>
      <c r="E389" s="1" t="n">
        <v>46314</v>
      </c>
      <c r="F389" t="inlineStr">
        <is>
          <t>KRONOBERGS LÄN</t>
        </is>
      </c>
      <c r="G389" t="inlineStr">
        <is>
          <t>VÄXJÖ</t>
        </is>
      </c>
      <c r="I389" t="n">
        <v>3.3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51662-2023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45222</v>
      </c>
      <c r="E390" s="1" t="n">
        <v>46314</v>
      </c>
      <c r="F390" t="inlineStr">
        <is>
          <t>KRONOBERGS LÄN</t>
        </is>
      </c>
      <c r="G390" t="inlineStr">
        <is>
          <t>VÄXJÖ</t>
        </is>
      </c>
      <c r="I390" t="n">
        <v>0.8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16756-2025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45754</v>
      </c>
      <c r="E391" s="1" t="n">
        <v>46314</v>
      </c>
      <c r="F391" t="inlineStr">
        <is>
          <t>KRONOBERGS LÄN</t>
        </is>
      </c>
      <c r="G391" t="inlineStr">
        <is>
          <t>VÄXJÖ</t>
        </is>
      </c>
      <c r="I391" t="n">
        <v>1.5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55517-2024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45622</v>
      </c>
      <c r="E392" s="1" t="n">
        <v>46314</v>
      </c>
      <c r="F392" t="inlineStr">
        <is>
          <t>KRONOBERGS LÄN</t>
        </is>
      </c>
      <c r="G392" t="inlineStr">
        <is>
          <t>VÄXJÖ</t>
        </is>
      </c>
      <c r="I392" t="n">
        <v>0.6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65106-2023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45288</v>
      </c>
      <c r="E393" s="1" t="n">
        <v>46314</v>
      </c>
      <c r="F393" t="inlineStr">
        <is>
          <t>KRONOBERGS LÄN</t>
        </is>
      </c>
      <c r="G393" t="inlineStr">
        <is>
          <t>VÄXJÖ</t>
        </is>
      </c>
      <c r="I393" t="n">
        <v>5.1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53240-2023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45229</v>
      </c>
      <c r="E394" s="1" t="n">
        <v>46314</v>
      </c>
      <c r="F394" t="inlineStr">
        <is>
          <t>KRONOBERGS LÄN</t>
        </is>
      </c>
      <c r="G394" t="inlineStr">
        <is>
          <t>VÄXJÖ</t>
        </is>
      </c>
      <c r="I394" t="n">
        <v>1.3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13682-2024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45390</v>
      </c>
      <c r="E395" s="1" t="n">
        <v>46314</v>
      </c>
      <c r="F395" t="inlineStr">
        <is>
          <t>KRONOBERGS LÄN</t>
        </is>
      </c>
      <c r="G395" t="inlineStr">
        <is>
          <t>VÄXJÖ</t>
        </is>
      </c>
      <c r="I395" t="n">
        <v>1.1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30367-2025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45827</v>
      </c>
      <c r="E396" s="1" t="n">
        <v>46314</v>
      </c>
      <c r="F396" t="inlineStr">
        <is>
          <t>KRONOBERGS LÄN</t>
        </is>
      </c>
      <c r="G396" t="inlineStr">
        <is>
          <t>VÄXJÖ</t>
        </is>
      </c>
      <c r="I396" t="n">
        <v>0.9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63846-2023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45278</v>
      </c>
      <c r="E397" s="1" t="n">
        <v>46314</v>
      </c>
      <c r="F397" t="inlineStr">
        <is>
          <t>KRONOBERGS LÄN</t>
        </is>
      </c>
      <c r="G397" t="inlineStr">
        <is>
          <t>VÄXJÖ</t>
        </is>
      </c>
      <c r="I397" t="n">
        <v>5.6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32828-2023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45124</v>
      </c>
      <c r="E398" s="1" t="n">
        <v>46314</v>
      </c>
      <c r="F398" t="inlineStr">
        <is>
          <t>KRONOBERGS LÄN</t>
        </is>
      </c>
      <c r="G398" t="inlineStr">
        <is>
          <t>VÄXJÖ</t>
        </is>
      </c>
      <c r="I398" t="n">
        <v>0.5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28165-2025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45818</v>
      </c>
      <c r="E399" s="1" t="n">
        <v>46314</v>
      </c>
      <c r="F399" t="inlineStr">
        <is>
          <t>KRONOBERGS LÄN</t>
        </is>
      </c>
      <c r="G399" t="inlineStr">
        <is>
          <t>VÄXJÖ</t>
        </is>
      </c>
      <c r="I399" t="n">
        <v>3.5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12999-2024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45385</v>
      </c>
      <c r="E400" s="1" t="n">
        <v>46314</v>
      </c>
      <c r="F400" t="inlineStr">
        <is>
          <t>KRONOBERGS LÄN</t>
        </is>
      </c>
      <c r="G400" t="inlineStr">
        <is>
          <t>VÄXJÖ</t>
        </is>
      </c>
      <c r="H400" t="inlineStr">
        <is>
          <t>Sveaskog</t>
        </is>
      </c>
      <c r="I400" t="n">
        <v>0.5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26848-2025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45810</v>
      </c>
      <c r="E401" s="1" t="n">
        <v>46314</v>
      </c>
      <c r="F401" t="inlineStr">
        <is>
          <t>KRONOBERGS LÄN</t>
        </is>
      </c>
      <c r="G401" t="inlineStr">
        <is>
          <t>VÄXJÖ</t>
        </is>
      </c>
      <c r="H401" t="inlineStr">
        <is>
          <t>Övriga Aktiebolag</t>
        </is>
      </c>
      <c r="I401" t="n">
        <v>1.6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66863-2021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44522</v>
      </c>
      <c r="E402" s="1" t="n">
        <v>46314</v>
      </c>
      <c r="F402" t="inlineStr">
        <is>
          <t>KRONOBERGS LÄN</t>
        </is>
      </c>
      <c r="G402" t="inlineStr">
        <is>
          <t>VÄXJÖ</t>
        </is>
      </c>
      <c r="I402" t="n">
        <v>2.9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5003-2024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45329</v>
      </c>
      <c r="E403" s="1" t="n">
        <v>46314</v>
      </c>
      <c r="F403" t="inlineStr">
        <is>
          <t>KRONOBERGS LÄN</t>
        </is>
      </c>
      <c r="G403" t="inlineStr">
        <is>
          <t>VÄXJÖ</t>
        </is>
      </c>
      <c r="I403" t="n">
        <v>1.6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4459-2025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45686</v>
      </c>
      <c r="E404" s="1" t="n">
        <v>46314</v>
      </c>
      <c r="F404" t="inlineStr">
        <is>
          <t>KRONOBERGS LÄN</t>
        </is>
      </c>
      <c r="G404" t="inlineStr">
        <is>
          <t>VÄXJÖ</t>
        </is>
      </c>
      <c r="I404" t="n">
        <v>3.8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2096-2022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44577</v>
      </c>
      <c r="E405" s="1" t="n">
        <v>46314</v>
      </c>
      <c r="F405" t="inlineStr">
        <is>
          <t>KRONOBERGS LÄN</t>
        </is>
      </c>
      <c r="G405" t="inlineStr">
        <is>
          <t>VÄXJÖ</t>
        </is>
      </c>
      <c r="I405" t="n">
        <v>2.5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17934-2024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45419</v>
      </c>
      <c r="E406" s="1" t="n">
        <v>46314</v>
      </c>
      <c r="F406" t="inlineStr">
        <is>
          <t>KRONOBERGS LÄN</t>
        </is>
      </c>
      <c r="G406" t="inlineStr">
        <is>
          <t>VÄXJÖ</t>
        </is>
      </c>
      <c r="I406" t="n">
        <v>6.1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41823-2025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45902</v>
      </c>
      <c r="E407" s="1" t="n">
        <v>46314</v>
      </c>
      <c r="F407" t="inlineStr">
        <is>
          <t>KRONOBERGS LÄN</t>
        </is>
      </c>
      <c r="G407" t="inlineStr">
        <is>
          <t>VÄXJÖ</t>
        </is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37415-2025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45877</v>
      </c>
      <c r="E408" s="1" t="n">
        <v>46314</v>
      </c>
      <c r="F408" t="inlineStr">
        <is>
          <t>KRONOBERGS LÄN</t>
        </is>
      </c>
      <c r="G408" t="inlineStr">
        <is>
          <t>VÄXJÖ</t>
        </is>
      </c>
      <c r="I408" t="n">
        <v>1.4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26801-2025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45810</v>
      </c>
      <c r="E409" s="1" t="n">
        <v>46314</v>
      </c>
      <c r="F409" t="inlineStr">
        <is>
          <t>KRONOBERGS LÄN</t>
        </is>
      </c>
      <c r="G409" t="inlineStr">
        <is>
          <t>VÄXJÖ</t>
        </is>
      </c>
      <c r="H409" t="inlineStr">
        <is>
          <t>Övriga Aktiebolag</t>
        </is>
      </c>
      <c r="I409" t="n">
        <v>1.4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10061-2025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45719</v>
      </c>
      <c r="E410" s="1" t="n">
        <v>46314</v>
      </c>
      <c r="F410" t="inlineStr">
        <is>
          <t>KRONOBERGS LÄN</t>
        </is>
      </c>
      <c r="G410" t="inlineStr">
        <is>
          <t>VÄXJÖ</t>
        </is>
      </c>
      <c r="I410" t="n">
        <v>1.8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61187-2024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45645</v>
      </c>
      <c r="E411" s="1" t="n">
        <v>46314</v>
      </c>
      <c r="F411" t="inlineStr">
        <is>
          <t>KRONOBERGS LÄN</t>
        </is>
      </c>
      <c r="G411" t="inlineStr">
        <is>
          <t>VÄXJÖ</t>
        </is>
      </c>
      <c r="I411" t="n">
        <v>1.8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32005-2025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45835</v>
      </c>
      <c r="E412" s="1" t="n">
        <v>46314</v>
      </c>
      <c r="F412" t="inlineStr">
        <is>
          <t>KRONOBERGS LÄN</t>
        </is>
      </c>
      <c r="G412" t="inlineStr">
        <is>
          <t>VÄXJÖ</t>
        </is>
      </c>
      <c r="I412" t="n">
        <v>1.4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6870-2024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45342</v>
      </c>
      <c r="E413" s="1" t="n">
        <v>46314</v>
      </c>
      <c r="F413" t="inlineStr">
        <is>
          <t>KRONOBERGS LÄN</t>
        </is>
      </c>
      <c r="G413" t="inlineStr">
        <is>
          <t>VÄXJÖ</t>
        </is>
      </c>
      <c r="I413" t="n">
        <v>0.6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41817-2025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45902</v>
      </c>
      <c r="E414" s="1" t="n">
        <v>46314</v>
      </c>
      <c r="F414" t="inlineStr">
        <is>
          <t>KRONOBERGS LÄN</t>
        </is>
      </c>
      <c r="G414" t="inlineStr">
        <is>
          <t>VÄXJÖ</t>
        </is>
      </c>
      <c r="I414" t="n">
        <v>8.4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41822-2025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45902</v>
      </c>
      <c r="E415" s="1" t="n">
        <v>46314</v>
      </c>
      <c r="F415" t="inlineStr">
        <is>
          <t>KRONOBERGS LÄN</t>
        </is>
      </c>
      <c r="G415" t="inlineStr">
        <is>
          <t>VÄXJÖ</t>
        </is>
      </c>
      <c r="I415" t="n">
        <v>0.9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42374-2025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45905</v>
      </c>
      <c r="E416" s="1" t="n">
        <v>46314</v>
      </c>
      <c r="F416" t="inlineStr">
        <is>
          <t>KRONOBERGS LÄN</t>
        </is>
      </c>
      <c r="G416" t="inlineStr">
        <is>
          <t>VÄXJÖ</t>
        </is>
      </c>
      <c r="I416" t="n">
        <v>1.3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19278-2023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45049</v>
      </c>
      <c r="E417" s="1" t="n">
        <v>46314</v>
      </c>
      <c r="F417" t="inlineStr">
        <is>
          <t>KRONOBERGS LÄN</t>
        </is>
      </c>
      <c r="G417" t="inlineStr">
        <is>
          <t>VÄXJÖ</t>
        </is>
      </c>
      <c r="I417" t="n">
        <v>0.5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57037-2023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45244</v>
      </c>
      <c r="E418" s="1" t="n">
        <v>46314</v>
      </c>
      <c r="F418" t="inlineStr">
        <is>
          <t>KRONOBERGS LÄN</t>
        </is>
      </c>
      <c r="G418" t="inlineStr">
        <is>
          <t>VÄXJÖ</t>
        </is>
      </c>
      <c r="I418" t="n">
        <v>0.7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42946-2025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45909</v>
      </c>
      <c r="E419" s="1" t="n">
        <v>46314</v>
      </c>
      <c r="F419" t="inlineStr">
        <is>
          <t>KRONOBERGS LÄN</t>
        </is>
      </c>
      <c r="G419" t="inlineStr">
        <is>
          <t>VÄXJÖ</t>
        </is>
      </c>
      <c r="I419" t="n">
        <v>6.5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57188-2024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45629</v>
      </c>
      <c r="E420" s="1" t="n">
        <v>46314</v>
      </c>
      <c r="F420" t="inlineStr">
        <is>
          <t>KRONOBERGS LÄN</t>
        </is>
      </c>
      <c r="G420" t="inlineStr">
        <is>
          <t>VÄXJÖ</t>
        </is>
      </c>
      <c r="I420" t="n">
        <v>0.3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50017-2024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45599</v>
      </c>
      <c r="E421" s="1" t="n">
        <v>46314</v>
      </c>
      <c r="F421" t="inlineStr">
        <is>
          <t>KRONOBERGS LÄN</t>
        </is>
      </c>
      <c r="G421" t="inlineStr">
        <is>
          <t>VÄXJÖ</t>
        </is>
      </c>
      <c r="I421" t="n">
        <v>1.3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35061-2023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45145</v>
      </c>
      <c r="E422" s="1" t="n">
        <v>46314</v>
      </c>
      <c r="F422" t="inlineStr">
        <is>
          <t>KRONOBERGS LÄN</t>
        </is>
      </c>
      <c r="G422" t="inlineStr">
        <is>
          <t>VÄXJÖ</t>
        </is>
      </c>
      <c r="I422" t="n">
        <v>1.1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43640-2025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45911</v>
      </c>
      <c r="E423" s="1" t="n">
        <v>46314</v>
      </c>
      <c r="F423" t="inlineStr">
        <is>
          <t>KRONOBERGS LÄN</t>
        </is>
      </c>
      <c r="G423" t="inlineStr">
        <is>
          <t>VÄXJÖ</t>
        </is>
      </c>
      <c r="I423" t="n">
        <v>0.9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43311-2025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45910</v>
      </c>
      <c r="E424" s="1" t="n">
        <v>46314</v>
      </c>
      <c r="F424" t="inlineStr">
        <is>
          <t>KRONOBERGS LÄN</t>
        </is>
      </c>
      <c r="G424" t="inlineStr">
        <is>
          <t>VÄXJÖ</t>
        </is>
      </c>
      <c r="I424" t="n">
        <v>0.7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45651-2022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44845</v>
      </c>
      <c r="E425" s="1" t="n">
        <v>46314</v>
      </c>
      <c r="F425" t="inlineStr">
        <is>
          <t>KRONOBERGS LÄN</t>
        </is>
      </c>
      <c r="G425" t="inlineStr">
        <is>
          <t>VÄXJÖ</t>
        </is>
      </c>
      <c r="I425" t="n">
        <v>2.2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22533-2025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45787</v>
      </c>
      <c r="E426" s="1" t="n">
        <v>46314</v>
      </c>
      <c r="F426" t="inlineStr">
        <is>
          <t>KRONOBERGS LÄN</t>
        </is>
      </c>
      <c r="G426" t="inlineStr">
        <is>
          <t>VÄXJÖ</t>
        </is>
      </c>
      <c r="I426" t="n">
        <v>1.5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40216-2023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45169</v>
      </c>
      <c r="E427" s="1" t="n">
        <v>46314</v>
      </c>
      <c r="F427" t="inlineStr">
        <is>
          <t>KRONOBERGS LÄN</t>
        </is>
      </c>
      <c r="G427" t="inlineStr">
        <is>
          <t>VÄXJÖ</t>
        </is>
      </c>
      <c r="I427" t="n">
        <v>1.8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22058-2022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44711</v>
      </c>
      <c r="E428" s="1" t="n">
        <v>46314</v>
      </c>
      <c r="F428" t="inlineStr">
        <is>
          <t>KRONOBERGS LÄN</t>
        </is>
      </c>
      <c r="G428" t="inlineStr">
        <is>
          <t>VÄXJÖ</t>
        </is>
      </c>
      <c r="I428" t="n">
        <v>3.5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36724-2023</t>
        </is>
      </c>
      <c r="B429" t="inlineStr">
        <is>
          <t>avverkningsanmälan</t>
        </is>
      </c>
      <c r="C429" t="inlineStr">
        <is>
          <t>Avverkning för annat ändamål</t>
        </is>
      </c>
      <c r="D429" s="1" t="n">
        <v>45153</v>
      </c>
      <c r="E429" s="1" t="n">
        <v>46314</v>
      </c>
      <c r="F429" t="inlineStr">
        <is>
          <t>KRONOBERGS LÄN</t>
        </is>
      </c>
      <c r="G429" t="inlineStr">
        <is>
          <t>VÄXJÖ</t>
        </is>
      </c>
      <c r="I429" t="n">
        <v>0.6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1813-2023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44938</v>
      </c>
      <c r="E430" s="1" t="n">
        <v>46314</v>
      </c>
      <c r="F430" t="inlineStr">
        <is>
          <t>KRONOBERGS LÄN</t>
        </is>
      </c>
      <c r="G430" t="inlineStr">
        <is>
          <t>VÄXJÖ</t>
        </is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37432-2024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45540</v>
      </c>
      <c r="E431" s="1" t="n">
        <v>46314</v>
      </c>
      <c r="F431" t="inlineStr">
        <is>
          <t>KRONOBERGS LÄN</t>
        </is>
      </c>
      <c r="G431" t="inlineStr">
        <is>
          <t>VÄXJÖ</t>
        </is>
      </c>
      <c r="I431" t="n">
        <v>3.2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44882-2025</t>
        </is>
      </c>
      <c r="B432" t="inlineStr">
        <is>
          <t>avverkningsanmälan</t>
        </is>
      </c>
      <c r="C432" t="inlineStr">
        <is>
          <t>Avverkning för annat ändamål</t>
        </is>
      </c>
      <c r="D432" s="1" t="n">
        <v>45918</v>
      </c>
      <c r="E432" s="1" t="n">
        <v>46314</v>
      </c>
      <c r="F432" t="inlineStr">
        <is>
          <t>KRONOBERGS LÄN</t>
        </is>
      </c>
      <c r="G432" t="inlineStr">
        <is>
          <t>VÄXJÖ</t>
        </is>
      </c>
      <c r="I432" t="n">
        <v>0.5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28972-2023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45104</v>
      </c>
      <c r="E433" s="1" t="n">
        <v>46314</v>
      </c>
      <c r="F433" t="inlineStr">
        <is>
          <t>KRONOBERGS LÄN</t>
        </is>
      </c>
      <c r="G433" t="inlineStr">
        <is>
          <t>VÄXJÖ</t>
        </is>
      </c>
      <c r="I433" t="n">
        <v>1.3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7266-2025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45702</v>
      </c>
      <c r="E434" s="1" t="n">
        <v>46314</v>
      </c>
      <c r="F434" t="inlineStr">
        <is>
          <t>KRONOBERGS LÄN</t>
        </is>
      </c>
      <c r="G434" t="inlineStr">
        <is>
          <t>VÄXJÖ</t>
        </is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21191-2026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46146</v>
      </c>
      <c r="E435" s="1" t="n">
        <v>46314</v>
      </c>
      <c r="F435" t="inlineStr">
        <is>
          <t>KRONOBERGS LÄN</t>
        </is>
      </c>
      <c r="G435" t="inlineStr">
        <is>
          <t>VÄXJÖ</t>
        </is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21197-2026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46146</v>
      </c>
      <c r="E436" s="1" t="n">
        <v>46314</v>
      </c>
      <c r="F436" t="inlineStr">
        <is>
          <t>KRONOBERGS LÄN</t>
        </is>
      </c>
      <c r="G436" t="inlineStr">
        <is>
          <t>VÄXJÖ</t>
        </is>
      </c>
      <c r="I436" t="n">
        <v>0.4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13371-2024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45387</v>
      </c>
      <c r="E437" s="1" t="n">
        <v>46314</v>
      </c>
      <c r="F437" t="inlineStr">
        <is>
          <t>KRONOBERGS LÄN</t>
        </is>
      </c>
      <c r="G437" t="inlineStr">
        <is>
          <t>VÄXJÖ</t>
        </is>
      </c>
      <c r="I437" t="n">
        <v>1.1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21193-2026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46146</v>
      </c>
      <c r="E438" s="1" t="n">
        <v>46314</v>
      </c>
      <c r="F438" t="inlineStr">
        <is>
          <t>KRONOBERGS LÄN</t>
        </is>
      </c>
      <c r="G438" t="inlineStr">
        <is>
          <t>VÄXJÖ</t>
        </is>
      </c>
      <c r="I438" t="n">
        <v>0.5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21336-2026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46147</v>
      </c>
      <c r="E439" s="1" t="n">
        <v>46314</v>
      </c>
      <c r="F439" t="inlineStr">
        <is>
          <t>KRONOBERGS LÄN</t>
        </is>
      </c>
      <c r="G439" t="inlineStr">
        <is>
          <t>VÄXJÖ</t>
        </is>
      </c>
      <c r="I439" t="n">
        <v>3.1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21339-2026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46147</v>
      </c>
      <c r="E440" s="1" t="n">
        <v>46314</v>
      </c>
      <c r="F440" t="inlineStr">
        <is>
          <t>KRONOBERGS LÄN</t>
        </is>
      </c>
      <c r="G440" t="inlineStr">
        <is>
          <t>VÄXJÖ</t>
        </is>
      </c>
      <c r="I440" t="n">
        <v>0.6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21344-2026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46147</v>
      </c>
      <c r="E441" s="1" t="n">
        <v>46314</v>
      </c>
      <c r="F441" t="inlineStr">
        <is>
          <t>KRONOBERGS LÄN</t>
        </is>
      </c>
      <c r="G441" t="inlineStr">
        <is>
          <t>VÄXJÖ</t>
        </is>
      </c>
      <c r="I441" t="n">
        <v>2.5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46172-2025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45924</v>
      </c>
      <c r="E442" s="1" t="n">
        <v>46314</v>
      </c>
      <c r="F442" t="inlineStr">
        <is>
          <t>KRONOBERGS LÄN</t>
        </is>
      </c>
      <c r="G442" t="inlineStr">
        <is>
          <t>VÄXJÖ</t>
        </is>
      </c>
      <c r="I442" t="n">
        <v>0.7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21347-2026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46147</v>
      </c>
      <c r="E443" s="1" t="n">
        <v>46314</v>
      </c>
      <c r="F443" t="inlineStr">
        <is>
          <t>KRONOBERGS LÄN</t>
        </is>
      </c>
      <c r="G443" t="inlineStr">
        <is>
          <t>VÄXJÖ</t>
        </is>
      </c>
      <c r="I443" t="n">
        <v>2.4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21324-2026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46147</v>
      </c>
      <c r="E444" s="1" t="n">
        <v>46314</v>
      </c>
      <c r="F444" t="inlineStr">
        <is>
          <t>KRONOBERGS LÄN</t>
        </is>
      </c>
      <c r="G444" t="inlineStr">
        <is>
          <t>VÄXJÖ</t>
        </is>
      </c>
      <c r="I444" t="n">
        <v>6.9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31126-2023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45113</v>
      </c>
      <c r="E445" s="1" t="n">
        <v>46314</v>
      </c>
      <c r="F445" t="inlineStr">
        <is>
          <t>KRONOBERGS LÄN</t>
        </is>
      </c>
      <c r="G445" t="inlineStr">
        <is>
          <t>VÄXJÖ</t>
        </is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46461-2025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45925</v>
      </c>
      <c r="E446" s="1" t="n">
        <v>46314</v>
      </c>
      <c r="F446" t="inlineStr">
        <is>
          <t>KRONOBERGS LÄN</t>
        </is>
      </c>
      <c r="G446" t="inlineStr">
        <is>
          <t>VÄXJÖ</t>
        </is>
      </c>
      <c r="I446" t="n">
        <v>1.2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45579-2024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45579</v>
      </c>
      <c r="E447" s="1" t="n">
        <v>46314</v>
      </c>
      <c r="F447" t="inlineStr">
        <is>
          <t>KRONOBERGS LÄN</t>
        </is>
      </c>
      <c r="G447" t="inlineStr">
        <is>
          <t>VÄXJÖ</t>
        </is>
      </c>
      <c r="I447" t="n">
        <v>0.7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32490-2024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45513</v>
      </c>
      <c r="E448" s="1" t="n">
        <v>46314</v>
      </c>
      <c r="F448" t="inlineStr">
        <is>
          <t>KRONOBERGS LÄN</t>
        </is>
      </c>
      <c r="G448" t="inlineStr">
        <is>
          <t>VÄXJÖ</t>
        </is>
      </c>
      <c r="I448" t="n">
        <v>1.7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49961-2023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45215</v>
      </c>
      <c r="E449" s="1" t="n">
        <v>46314</v>
      </c>
      <c r="F449" t="inlineStr">
        <is>
          <t>KRONOBERGS LÄN</t>
        </is>
      </c>
      <c r="G449" t="inlineStr">
        <is>
          <t>VÄXJÖ</t>
        </is>
      </c>
      <c r="I449" t="n">
        <v>0.5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69752-2021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44532</v>
      </c>
      <c r="E450" s="1" t="n">
        <v>46314</v>
      </c>
      <c r="F450" t="inlineStr">
        <is>
          <t>KRONOBERGS LÄN</t>
        </is>
      </c>
      <c r="G450" t="inlineStr">
        <is>
          <t>VÄXJÖ</t>
        </is>
      </c>
      <c r="I450" t="n">
        <v>2.7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21750-2026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46149</v>
      </c>
      <c r="E451" s="1" t="n">
        <v>46314</v>
      </c>
      <c r="F451" t="inlineStr">
        <is>
          <t>KRONOBERGS LÄN</t>
        </is>
      </c>
      <c r="G451" t="inlineStr">
        <is>
          <t>VÄXJÖ</t>
        </is>
      </c>
      <c r="I451" t="n">
        <v>1.1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14743-2024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45397</v>
      </c>
      <c r="E452" s="1" t="n">
        <v>46314</v>
      </c>
      <c r="F452" t="inlineStr">
        <is>
          <t>KRONOBERGS LÄN</t>
        </is>
      </c>
      <c r="G452" t="inlineStr">
        <is>
          <t>VÄXJÖ</t>
        </is>
      </c>
      <c r="I452" t="n">
        <v>2.9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21426-2026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46148</v>
      </c>
      <c r="E453" s="1" t="n">
        <v>46314</v>
      </c>
      <c r="F453" t="inlineStr">
        <is>
          <t>KRONOBERGS LÄN</t>
        </is>
      </c>
      <c r="G453" t="inlineStr">
        <is>
          <t>VÄXJÖ</t>
        </is>
      </c>
      <c r="I453" t="n">
        <v>1.5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64120-2025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46021</v>
      </c>
      <c r="E454" s="1" t="n">
        <v>46314</v>
      </c>
      <c r="F454" t="inlineStr">
        <is>
          <t>KRONOBERGS LÄN</t>
        </is>
      </c>
      <c r="G454" t="inlineStr">
        <is>
          <t>VÄXJÖ</t>
        </is>
      </c>
      <c r="I454" t="n">
        <v>0.4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53844-2023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45224</v>
      </c>
      <c r="E455" s="1" t="n">
        <v>46314</v>
      </c>
      <c r="F455" t="inlineStr">
        <is>
          <t>KRONOBERGS LÄN</t>
        </is>
      </c>
      <c r="G455" t="inlineStr">
        <is>
          <t>VÄXJÖ</t>
        </is>
      </c>
      <c r="H455" t="inlineStr">
        <is>
          <t>Kyrkan</t>
        </is>
      </c>
      <c r="I455" t="n">
        <v>3.3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12618-2022</t>
        </is>
      </c>
      <c r="B456" t="inlineStr">
        <is>
          <t>avverkningsanmälan</t>
        </is>
      </c>
      <c r="C456" t="inlineStr">
        <is>
          <t>Avverkning för annat ändamål</t>
        </is>
      </c>
      <c r="D456" s="1" t="n">
        <v>44641</v>
      </c>
      <c r="E456" s="1" t="n">
        <v>46314</v>
      </c>
      <c r="F456" t="inlineStr">
        <is>
          <t>KRONOBERGS LÄN</t>
        </is>
      </c>
      <c r="G456" t="inlineStr">
        <is>
          <t>VÄXJÖ</t>
        </is>
      </c>
      <c r="I456" t="n">
        <v>0.5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22143-2026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46153</v>
      </c>
      <c r="E457" s="1" t="n">
        <v>46314</v>
      </c>
      <c r="F457" t="inlineStr">
        <is>
          <t>KRONOBERGS LÄN</t>
        </is>
      </c>
      <c r="G457" t="inlineStr">
        <is>
          <t>VÄXJÖ</t>
        </is>
      </c>
      <c r="I457" t="n">
        <v>0.6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22241-2023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45070</v>
      </c>
      <c r="E458" s="1" t="n">
        <v>46314</v>
      </c>
      <c r="F458" t="inlineStr">
        <is>
          <t>KRONOBERGS LÄN</t>
        </is>
      </c>
      <c r="G458" t="inlineStr">
        <is>
          <t>VÄXJÖ</t>
        </is>
      </c>
      <c r="I458" t="n">
        <v>1.4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48905-2025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45937</v>
      </c>
      <c r="E459" s="1" t="n">
        <v>46314</v>
      </c>
      <c r="F459" t="inlineStr">
        <is>
          <t>KRONOBERGS LÄN</t>
        </is>
      </c>
      <c r="G459" t="inlineStr">
        <is>
          <t>VÄXJÖ</t>
        </is>
      </c>
      <c r="I459" t="n">
        <v>8.1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33393-2023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45128</v>
      </c>
      <c r="E460" s="1" t="n">
        <v>46314</v>
      </c>
      <c r="F460" t="inlineStr">
        <is>
          <t>KRONOBERGS LÄN</t>
        </is>
      </c>
      <c r="G460" t="inlineStr">
        <is>
          <t>VÄXJÖ</t>
        </is>
      </c>
      <c r="I460" t="n">
        <v>2.8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60411-2023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45259</v>
      </c>
      <c r="E461" s="1" t="n">
        <v>46314</v>
      </c>
      <c r="F461" t="inlineStr">
        <is>
          <t>KRONOBERGS LÄN</t>
        </is>
      </c>
      <c r="G461" t="inlineStr">
        <is>
          <t>VÄXJÖ</t>
        </is>
      </c>
      <c r="I461" t="n">
        <v>2.2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48884-2025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45937</v>
      </c>
      <c r="E462" s="1" t="n">
        <v>46314</v>
      </c>
      <c r="F462" t="inlineStr">
        <is>
          <t>KRONOBERGS LÄN</t>
        </is>
      </c>
      <c r="G462" t="inlineStr">
        <is>
          <t>VÄXJÖ</t>
        </is>
      </c>
      <c r="I462" t="n">
        <v>1.5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2107-2024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45309</v>
      </c>
      <c r="E463" s="1" t="n">
        <v>46314</v>
      </c>
      <c r="F463" t="inlineStr">
        <is>
          <t>KRONOBERGS LÄN</t>
        </is>
      </c>
      <c r="G463" t="inlineStr">
        <is>
          <t>VÄXJÖ</t>
        </is>
      </c>
      <c r="I463" t="n">
        <v>1.4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2115-2024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45309</v>
      </c>
      <c r="E464" s="1" t="n">
        <v>46314</v>
      </c>
      <c r="F464" t="inlineStr">
        <is>
          <t>KRONOBERGS LÄN</t>
        </is>
      </c>
      <c r="G464" t="inlineStr">
        <is>
          <t>VÄXJÖ</t>
        </is>
      </c>
      <c r="I464" t="n">
        <v>1.6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29923-2024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45488</v>
      </c>
      <c r="E465" s="1" t="n">
        <v>46314</v>
      </c>
      <c r="F465" t="inlineStr">
        <is>
          <t>KRONOBERGS LÄN</t>
        </is>
      </c>
      <c r="G465" t="inlineStr">
        <is>
          <t>VÄXJÖ</t>
        </is>
      </c>
      <c r="I465" t="n">
        <v>0.5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14427-2023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45009</v>
      </c>
      <c r="E466" s="1" t="n">
        <v>46314</v>
      </c>
      <c r="F466" t="inlineStr">
        <is>
          <t>KRONOBERGS LÄN</t>
        </is>
      </c>
      <c r="G466" t="inlineStr">
        <is>
          <t>VÄXJÖ</t>
        </is>
      </c>
      <c r="H466" t="inlineStr">
        <is>
          <t>Kyrkan</t>
        </is>
      </c>
      <c r="I466" t="n">
        <v>3.4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40548-2025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45896</v>
      </c>
      <c r="E467" s="1" t="n">
        <v>46314</v>
      </c>
      <c r="F467" t="inlineStr">
        <is>
          <t>KRONOBERGS LÄN</t>
        </is>
      </c>
      <c r="G467" t="inlineStr">
        <is>
          <t>VÄXJÖ</t>
        </is>
      </c>
      <c r="I467" t="n">
        <v>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4362-2025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45686</v>
      </c>
      <c r="E468" s="1" t="n">
        <v>46314</v>
      </c>
      <c r="F468" t="inlineStr">
        <is>
          <t>KRONOBERGS LÄN</t>
        </is>
      </c>
      <c r="G468" t="inlineStr">
        <is>
          <t>VÄXJÖ</t>
        </is>
      </c>
      <c r="I468" t="n">
        <v>5.7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28570-2023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45103</v>
      </c>
      <c r="E469" s="1" t="n">
        <v>46314</v>
      </c>
      <c r="F469" t="inlineStr">
        <is>
          <t>KRONOBERGS LÄN</t>
        </is>
      </c>
      <c r="G469" t="inlineStr">
        <is>
          <t>VÄXJÖ</t>
        </is>
      </c>
      <c r="I469" t="n">
        <v>0.8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48236-2022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44858</v>
      </c>
      <c r="E470" s="1" t="n">
        <v>46314</v>
      </c>
      <c r="F470" t="inlineStr">
        <is>
          <t>KRONOBERGS LÄN</t>
        </is>
      </c>
      <c r="G470" t="inlineStr">
        <is>
          <t>VÄXJÖ</t>
        </is>
      </c>
      <c r="I470" t="n">
        <v>4.1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59298-2023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45253</v>
      </c>
      <c r="E471" s="1" t="n">
        <v>46314</v>
      </c>
      <c r="F471" t="inlineStr">
        <is>
          <t>KRONOBERGS LÄN</t>
        </is>
      </c>
      <c r="G471" t="inlineStr">
        <is>
          <t>VÄXJÖ</t>
        </is>
      </c>
      <c r="I471" t="n">
        <v>2.1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58134-2023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45250</v>
      </c>
      <c r="E472" s="1" t="n">
        <v>46314</v>
      </c>
      <c r="F472" t="inlineStr">
        <is>
          <t>KRONOBERGS LÄN</t>
        </is>
      </c>
      <c r="G472" t="inlineStr">
        <is>
          <t>VÄXJÖ</t>
        </is>
      </c>
      <c r="I472" t="n">
        <v>3.1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15175-2023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45016</v>
      </c>
      <c r="E473" s="1" t="n">
        <v>46314</v>
      </c>
      <c r="F473" t="inlineStr">
        <is>
          <t>KRONOBERGS LÄN</t>
        </is>
      </c>
      <c r="G473" t="inlineStr">
        <is>
          <t>VÄXJÖ</t>
        </is>
      </c>
      <c r="I473" t="n">
        <v>0.7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1704-2025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45670</v>
      </c>
      <c r="E474" s="1" t="n">
        <v>46314</v>
      </c>
      <c r="F474" t="inlineStr">
        <is>
          <t>KRONOBERGS LÄN</t>
        </is>
      </c>
      <c r="G474" t="inlineStr">
        <is>
          <t>VÄXJÖ</t>
        </is>
      </c>
      <c r="I474" t="n">
        <v>0.6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58180-2023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45250</v>
      </c>
      <c r="E475" s="1" t="n">
        <v>46314</v>
      </c>
      <c r="F475" t="inlineStr">
        <is>
          <t>KRONOBERGS LÄN</t>
        </is>
      </c>
      <c r="G475" t="inlineStr">
        <is>
          <t>VÄXJÖ</t>
        </is>
      </c>
      <c r="I475" t="n">
        <v>0.7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60650-2025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45995</v>
      </c>
      <c r="E476" s="1" t="n">
        <v>46314</v>
      </c>
      <c r="F476" t="inlineStr">
        <is>
          <t>KRONOBERGS LÄN</t>
        </is>
      </c>
      <c r="G476" t="inlineStr">
        <is>
          <t>VÄXJÖ</t>
        </is>
      </c>
      <c r="I476" t="n">
        <v>0.9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22766-2025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45789</v>
      </c>
      <c r="E477" s="1" t="n">
        <v>46314</v>
      </c>
      <c r="F477" t="inlineStr">
        <is>
          <t>KRONOBERGS LÄN</t>
        </is>
      </c>
      <c r="G477" t="inlineStr">
        <is>
          <t>VÄXJÖ</t>
        </is>
      </c>
      <c r="I477" t="n">
        <v>1.9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45893-2025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45923</v>
      </c>
      <c r="E478" s="1" t="n">
        <v>46314</v>
      </c>
      <c r="F478" t="inlineStr">
        <is>
          <t>KRONOBERGS LÄN</t>
        </is>
      </c>
      <c r="G478" t="inlineStr">
        <is>
          <t>VÄXJÖ</t>
        </is>
      </c>
      <c r="I478" t="n">
        <v>3.6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10246-2023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44986</v>
      </c>
      <c r="E479" s="1" t="n">
        <v>46314</v>
      </c>
      <c r="F479" t="inlineStr">
        <is>
          <t>KRONOBERGS LÄN</t>
        </is>
      </c>
      <c r="G479" t="inlineStr">
        <is>
          <t>VÄXJÖ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51921-2025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45952</v>
      </c>
      <c r="E480" s="1" t="n">
        <v>46314</v>
      </c>
      <c r="F480" t="inlineStr">
        <is>
          <t>KRONOBERGS LÄN</t>
        </is>
      </c>
      <c r="G480" t="inlineStr">
        <is>
          <t>VÄXJÖ</t>
        </is>
      </c>
      <c r="I480" t="n">
        <v>0.6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33075-2024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45517</v>
      </c>
      <c r="E481" s="1" t="n">
        <v>46314</v>
      </c>
      <c r="F481" t="inlineStr">
        <is>
          <t>KRONOBERGS LÄN</t>
        </is>
      </c>
      <c r="G481" t="inlineStr">
        <is>
          <t>VÄXJÖ</t>
        </is>
      </c>
      <c r="I481" t="n">
        <v>1.2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57834-2024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45631</v>
      </c>
      <c r="E482" s="1" t="n">
        <v>46314</v>
      </c>
      <c r="F482" t="inlineStr">
        <is>
          <t>KRONOBERGS LÄN</t>
        </is>
      </c>
      <c r="G482" t="inlineStr">
        <is>
          <t>VÄXJÖ</t>
        </is>
      </c>
      <c r="I482" t="n">
        <v>0.9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43279-2023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45183</v>
      </c>
      <c r="E483" s="1" t="n">
        <v>46314</v>
      </c>
      <c r="F483" t="inlineStr">
        <is>
          <t>KRONOBERGS LÄN</t>
        </is>
      </c>
      <c r="G483" t="inlineStr">
        <is>
          <t>VÄXJÖ</t>
        </is>
      </c>
      <c r="I483" t="n">
        <v>2.4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50916-2025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45946</v>
      </c>
      <c r="E484" s="1" t="n">
        <v>46314</v>
      </c>
      <c r="F484" t="inlineStr">
        <is>
          <t>KRONOBERGS LÄN</t>
        </is>
      </c>
      <c r="G484" t="inlineStr">
        <is>
          <t>VÄXJÖ</t>
        </is>
      </c>
      <c r="I484" t="n">
        <v>3.7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8571-2023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44977</v>
      </c>
      <c r="E485" s="1" t="n">
        <v>46314</v>
      </c>
      <c r="F485" t="inlineStr">
        <is>
          <t>KRONOBERGS LÄN</t>
        </is>
      </c>
      <c r="G485" t="inlineStr">
        <is>
          <t>VÄXJÖ</t>
        </is>
      </c>
      <c r="I485" t="n">
        <v>0.7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52312-2025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45953</v>
      </c>
      <c r="E486" s="1" t="n">
        <v>46314</v>
      </c>
      <c r="F486" t="inlineStr">
        <is>
          <t>KRONOBERGS LÄN</t>
        </is>
      </c>
      <c r="G486" t="inlineStr">
        <is>
          <t>VÄXJÖ</t>
        </is>
      </c>
      <c r="I486" t="n">
        <v>2.2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31363-2023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45114</v>
      </c>
      <c r="E487" s="1" t="n">
        <v>46314</v>
      </c>
      <c r="F487" t="inlineStr">
        <is>
          <t>KRONOBERGS LÄN</t>
        </is>
      </c>
      <c r="G487" t="inlineStr">
        <is>
          <t>VÄXJÖ</t>
        </is>
      </c>
      <c r="I487" t="n">
        <v>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31364-2023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45114</v>
      </c>
      <c r="E488" s="1" t="n">
        <v>46314</v>
      </c>
      <c r="F488" t="inlineStr">
        <is>
          <t>KRONOBERGS LÄN</t>
        </is>
      </c>
      <c r="G488" t="inlineStr">
        <is>
          <t>VÄXJÖ</t>
        </is>
      </c>
      <c r="I488" t="n">
        <v>1.9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375-2024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45296</v>
      </c>
      <c r="E489" s="1" t="n">
        <v>46314</v>
      </c>
      <c r="F489" t="inlineStr">
        <is>
          <t>KRONOBERGS LÄN</t>
        </is>
      </c>
      <c r="G489" t="inlineStr">
        <is>
          <t>VÄXJÖ</t>
        </is>
      </c>
      <c r="I489" t="n">
        <v>1.6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42705-2023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45181</v>
      </c>
      <c r="E490" s="1" t="n">
        <v>46314</v>
      </c>
      <c r="F490" t="inlineStr">
        <is>
          <t>KRONOBERGS LÄN</t>
        </is>
      </c>
      <c r="G490" t="inlineStr">
        <is>
          <t>VÄXJÖ</t>
        </is>
      </c>
      <c r="I490" t="n">
        <v>0.8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25806-2023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45090</v>
      </c>
      <c r="E491" s="1" t="n">
        <v>46314</v>
      </c>
      <c r="F491" t="inlineStr">
        <is>
          <t>KRONOBERGS LÄN</t>
        </is>
      </c>
      <c r="G491" t="inlineStr">
        <is>
          <t>VÄXJÖ</t>
        </is>
      </c>
      <c r="I491" t="n">
        <v>0.7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54182-2025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45964</v>
      </c>
      <c r="E492" s="1" t="n">
        <v>46314</v>
      </c>
      <c r="F492" t="inlineStr">
        <is>
          <t>KRONOBERGS LÄN</t>
        </is>
      </c>
      <c r="G492" t="inlineStr">
        <is>
          <t>VÄXJÖ</t>
        </is>
      </c>
      <c r="I492" t="n">
        <v>1.1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50919-2022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44867</v>
      </c>
      <c r="E493" s="1" t="n">
        <v>46314</v>
      </c>
      <c r="F493" t="inlineStr">
        <is>
          <t>KRONOBERGS LÄN</t>
        </is>
      </c>
      <c r="G493" t="inlineStr">
        <is>
          <t>VÄXJÖ</t>
        </is>
      </c>
      <c r="I493" t="n">
        <v>1.5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49975-2024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45597</v>
      </c>
      <c r="E494" s="1" t="n">
        <v>46314</v>
      </c>
      <c r="F494" t="inlineStr">
        <is>
          <t>KRONOBERGS LÄN</t>
        </is>
      </c>
      <c r="G494" t="inlineStr">
        <is>
          <t>VÄXJÖ</t>
        </is>
      </c>
      <c r="I494" t="n">
        <v>0.9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15504-2024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45401</v>
      </c>
      <c r="E495" s="1" t="n">
        <v>46314</v>
      </c>
      <c r="F495" t="inlineStr">
        <is>
          <t>KRONOBERGS LÄN</t>
        </is>
      </c>
      <c r="G495" t="inlineStr">
        <is>
          <t>VÄXJÖ</t>
        </is>
      </c>
      <c r="I495" t="n">
        <v>0.5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46178-2025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45924</v>
      </c>
      <c r="E496" s="1" t="n">
        <v>46314</v>
      </c>
      <c r="F496" t="inlineStr">
        <is>
          <t>KRONOBERGS LÄN</t>
        </is>
      </c>
      <c r="G496" t="inlineStr">
        <is>
          <t>VÄXJÖ</t>
        </is>
      </c>
      <c r="I496" t="n">
        <v>0.3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4171-2025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45685</v>
      </c>
      <c r="E497" s="1" t="n">
        <v>46314</v>
      </c>
      <c r="F497" t="inlineStr">
        <is>
          <t>KRONOBERGS LÄN</t>
        </is>
      </c>
      <c r="G497" t="inlineStr">
        <is>
          <t>VÄXJÖ</t>
        </is>
      </c>
      <c r="I497" t="n">
        <v>1.4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7682-2023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44972</v>
      </c>
      <c r="E498" s="1" t="n">
        <v>46314</v>
      </c>
      <c r="F498" t="inlineStr">
        <is>
          <t>KRONOBERGS LÄN</t>
        </is>
      </c>
      <c r="G498" t="inlineStr">
        <is>
          <t>VÄXJÖ</t>
        </is>
      </c>
      <c r="I498" t="n">
        <v>4.5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55958-2024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45623</v>
      </c>
      <c r="E499" s="1" t="n">
        <v>46314</v>
      </c>
      <c r="F499" t="inlineStr">
        <is>
          <t>KRONOBERGS LÄN</t>
        </is>
      </c>
      <c r="G499" t="inlineStr">
        <is>
          <t>VÄXJÖ</t>
        </is>
      </c>
      <c r="I499" t="n">
        <v>1.6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55459-2025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45971</v>
      </c>
      <c r="E500" s="1" t="n">
        <v>46314</v>
      </c>
      <c r="F500" t="inlineStr">
        <is>
          <t>KRONOBERGS LÄN</t>
        </is>
      </c>
      <c r="G500" t="inlineStr">
        <is>
          <t>VÄXJÖ</t>
        </is>
      </c>
      <c r="I500" t="n">
        <v>2.1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188-2023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44928</v>
      </c>
      <c r="E501" s="1" t="n">
        <v>46314</v>
      </c>
      <c r="F501" t="inlineStr">
        <is>
          <t>KRONOBERGS LÄN</t>
        </is>
      </c>
      <c r="G501" t="inlineStr">
        <is>
          <t>VÄXJÖ</t>
        </is>
      </c>
      <c r="I501" t="n">
        <v>7.3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43254-2024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45568</v>
      </c>
      <c r="E502" s="1" t="n">
        <v>46314</v>
      </c>
      <c r="F502" t="inlineStr">
        <is>
          <t>KRONOBERGS LÄN</t>
        </is>
      </c>
      <c r="G502" t="inlineStr">
        <is>
          <t>VÄXJÖ</t>
        </is>
      </c>
      <c r="I502" t="n">
        <v>0.5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23358-2026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46162</v>
      </c>
      <c r="E503" s="1" t="n">
        <v>46314</v>
      </c>
      <c r="F503" t="inlineStr">
        <is>
          <t>KRONOBERGS LÄN</t>
        </is>
      </c>
      <c r="G503" t="inlineStr">
        <is>
          <t>VÄXJÖ</t>
        </is>
      </c>
      <c r="I503" t="n">
        <v>0.6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23526-2026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46163</v>
      </c>
      <c r="E504" s="1" t="n">
        <v>46314</v>
      </c>
      <c r="F504" t="inlineStr">
        <is>
          <t>KRONOBERGS LÄN</t>
        </is>
      </c>
      <c r="G504" t="inlineStr">
        <is>
          <t>VÄXJÖ</t>
        </is>
      </c>
      <c r="I504" t="n">
        <v>0.7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23530-2026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46163</v>
      </c>
      <c r="E505" s="1" t="n">
        <v>46314</v>
      </c>
      <c r="F505" t="inlineStr">
        <is>
          <t>KRONOBERGS LÄN</t>
        </is>
      </c>
      <c r="G505" t="inlineStr">
        <is>
          <t>VÄXJÖ</t>
        </is>
      </c>
      <c r="I505" t="n">
        <v>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21301-2025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45780</v>
      </c>
      <c r="E506" s="1" t="n">
        <v>46314</v>
      </c>
      <c r="F506" t="inlineStr">
        <is>
          <t>KRONOBERGS LÄN</t>
        </is>
      </c>
      <c r="G506" t="inlineStr">
        <is>
          <t>VÄXJÖ</t>
        </is>
      </c>
      <c r="I506" t="n">
        <v>1.2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23522-2026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46163</v>
      </c>
      <c r="E507" s="1" t="n">
        <v>46314</v>
      </c>
      <c r="F507" t="inlineStr">
        <is>
          <t>KRONOBERGS LÄN</t>
        </is>
      </c>
      <c r="G507" t="inlineStr">
        <is>
          <t>VÄXJÖ</t>
        </is>
      </c>
      <c r="I507" t="n">
        <v>1.1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23534-2026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46163</v>
      </c>
      <c r="E508" s="1" t="n">
        <v>46314</v>
      </c>
      <c r="F508" t="inlineStr">
        <is>
          <t>KRONOBERGS LÄN</t>
        </is>
      </c>
      <c r="G508" t="inlineStr">
        <is>
          <t>VÄXJÖ</t>
        </is>
      </c>
      <c r="I508" t="n">
        <v>1.7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21046-2023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45061</v>
      </c>
      <c r="E509" s="1" t="n">
        <v>46314</v>
      </c>
      <c r="F509" t="inlineStr">
        <is>
          <t>KRONOBERGS LÄN</t>
        </is>
      </c>
      <c r="G509" t="inlineStr">
        <is>
          <t>VÄXJÖ</t>
        </is>
      </c>
      <c r="I509" t="n">
        <v>0.5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56068-2025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45973</v>
      </c>
      <c r="E510" s="1" t="n">
        <v>46314</v>
      </c>
      <c r="F510" t="inlineStr">
        <is>
          <t>KRONOBERGS LÄN</t>
        </is>
      </c>
      <c r="G510" t="inlineStr">
        <is>
          <t>VÄXJÖ</t>
        </is>
      </c>
      <c r="I510" t="n">
        <v>2.6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23528-2026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46163</v>
      </c>
      <c r="E511" s="1" t="n">
        <v>46314</v>
      </c>
      <c r="F511" t="inlineStr">
        <is>
          <t>KRONOBERGS LÄN</t>
        </is>
      </c>
      <c r="G511" t="inlineStr">
        <is>
          <t>VÄXJÖ</t>
        </is>
      </c>
      <c r="I511" t="n">
        <v>1.5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23354-2026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46162</v>
      </c>
      <c r="E512" s="1" t="n">
        <v>46314</v>
      </c>
      <c r="F512" t="inlineStr">
        <is>
          <t>KRONOBERGS LÄN</t>
        </is>
      </c>
      <c r="G512" t="inlineStr">
        <is>
          <t>VÄXJÖ</t>
        </is>
      </c>
      <c r="I512" t="n">
        <v>0.3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23524-2026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46163</v>
      </c>
      <c r="E513" s="1" t="n">
        <v>46314</v>
      </c>
      <c r="F513" t="inlineStr">
        <is>
          <t>KRONOBERGS LÄN</t>
        </is>
      </c>
      <c r="G513" t="inlineStr">
        <is>
          <t>VÄXJÖ</t>
        </is>
      </c>
      <c r="I513" t="n">
        <v>0.5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59065-2022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44904</v>
      </c>
      <c r="E514" s="1" t="n">
        <v>46314</v>
      </c>
      <c r="F514" t="inlineStr">
        <is>
          <t>KRONOBERGS LÄN</t>
        </is>
      </c>
      <c r="G514" t="inlineStr">
        <is>
          <t>VÄXJÖ</t>
        </is>
      </c>
      <c r="I514" t="n">
        <v>1.2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59066-2022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44904</v>
      </c>
      <c r="E515" s="1" t="n">
        <v>46314</v>
      </c>
      <c r="F515" t="inlineStr">
        <is>
          <t>KRONOBERGS LÄN</t>
        </is>
      </c>
      <c r="G515" t="inlineStr">
        <is>
          <t>VÄXJÖ</t>
        </is>
      </c>
      <c r="I515" t="n">
        <v>0.6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10070-2025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45719</v>
      </c>
      <c r="E516" s="1" t="n">
        <v>46314</v>
      </c>
      <c r="F516" t="inlineStr">
        <is>
          <t>KRONOBERGS LÄN</t>
        </is>
      </c>
      <c r="G516" t="inlineStr">
        <is>
          <t>VÄXJÖ</t>
        </is>
      </c>
      <c r="I516" t="n">
        <v>1.2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18060-2024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45420</v>
      </c>
      <c r="E517" s="1" t="n">
        <v>46314</v>
      </c>
      <c r="F517" t="inlineStr">
        <is>
          <t>KRONOBERGS LÄN</t>
        </is>
      </c>
      <c r="G517" t="inlineStr">
        <is>
          <t>VÄXJÖ</t>
        </is>
      </c>
      <c r="I517" t="n">
        <v>1.2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31309-2024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45504</v>
      </c>
      <c r="E518" s="1" t="n">
        <v>46314</v>
      </c>
      <c r="F518" t="inlineStr">
        <is>
          <t>KRONOBERGS LÄN</t>
        </is>
      </c>
      <c r="G518" t="inlineStr">
        <is>
          <t>VÄXJÖ</t>
        </is>
      </c>
      <c r="I518" t="n">
        <v>3.5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46963-2024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45583</v>
      </c>
      <c r="E519" s="1" t="n">
        <v>46314</v>
      </c>
      <c r="F519" t="inlineStr">
        <is>
          <t>KRONOBERGS LÄN</t>
        </is>
      </c>
      <c r="G519" t="inlineStr">
        <is>
          <t>VÄXJÖ</t>
        </is>
      </c>
      <c r="H519" t="inlineStr">
        <is>
          <t>Kyrkan</t>
        </is>
      </c>
      <c r="I519" t="n">
        <v>2.7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57239-2025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45979</v>
      </c>
      <c r="E520" s="1" t="n">
        <v>46314</v>
      </c>
      <c r="F520" t="inlineStr">
        <is>
          <t>KRONOBERGS LÄN</t>
        </is>
      </c>
      <c r="G520" t="inlineStr">
        <is>
          <t>VÄXJÖ</t>
        </is>
      </c>
      <c r="I520" t="n">
        <v>2.8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57281-2025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45979</v>
      </c>
      <c r="E521" s="1" t="n">
        <v>46314</v>
      </c>
      <c r="F521" t="inlineStr">
        <is>
          <t>KRONOBERGS LÄN</t>
        </is>
      </c>
      <c r="G521" t="inlineStr">
        <is>
          <t>VÄXJÖ</t>
        </is>
      </c>
      <c r="I521" t="n">
        <v>0.2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16593-2025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45753</v>
      </c>
      <c r="E522" s="1" t="n">
        <v>46314</v>
      </c>
      <c r="F522" t="inlineStr">
        <is>
          <t>KRONOBERGS LÄN</t>
        </is>
      </c>
      <c r="G522" t="inlineStr">
        <is>
          <t>VÄXJÖ</t>
        </is>
      </c>
      <c r="I522" t="n">
        <v>0.3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23346-2026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46162</v>
      </c>
      <c r="E523" s="1" t="n">
        <v>46314</v>
      </c>
      <c r="F523" t="inlineStr">
        <is>
          <t>KRONOBERGS LÄN</t>
        </is>
      </c>
      <c r="G523" t="inlineStr">
        <is>
          <t>VÄXJÖ</t>
        </is>
      </c>
      <c r="I523" t="n">
        <v>1.2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57514-2025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45980</v>
      </c>
      <c r="E524" s="1" t="n">
        <v>46314</v>
      </c>
      <c r="F524" t="inlineStr">
        <is>
          <t>KRONOBERGS LÄN</t>
        </is>
      </c>
      <c r="G524" t="inlineStr">
        <is>
          <t>VÄXJÖ</t>
        </is>
      </c>
      <c r="I524" t="n">
        <v>1.9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54616-2024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45617</v>
      </c>
      <c r="E525" s="1" t="n">
        <v>46314</v>
      </c>
      <c r="F525" t="inlineStr">
        <is>
          <t>KRONOBERGS LÄN</t>
        </is>
      </c>
      <c r="G525" t="inlineStr">
        <is>
          <t>VÄXJÖ</t>
        </is>
      </c>
      <c r="I525" t="n">
        <v>1.8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16214-2022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44670</v>
      </c>
      <c r="E526" s="1" t="n">
        <v>46314</v>
      </c>
      <c r="F526" t="inlineStr">
        <is>
          <t>KRONOBERGS LÄN</t>
        </is>
      </c>
      <c r="G526" t="inlineStr">
        <is>
          <t>VÄXJÖ</t>
        </is>
      </c>
      <c r="I526" t="n">
        <v>1.3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4318-2024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45324</v>
      </c>
      <c r="E527" s="1" t="n">
        <v>46314</v>
      </c>
      <c r="F527" t="inlineStr">
        <is>
          <t>KRONOBERGS LÄN</t>
        </is>
      </c>
      <c r="G527" t="inlineStr">
        <is>
          <t>VÄXJÖ</t>
        </is>
      </c>
      <c r="I527" t="n">
        <v>0.6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16449-2023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45029</v>
      </c>
      <c r="E528" s="1" t="n">
        <v>46314</v>
      </c>
      <c r="F528" t="inlineStr">
        <is>
          <t>KRONOBERGS LÄN</t>
        </is>
      </c>
      <c r="G528" t="inlineStr">
        <is>
          <t>VÄXJÖ</t>
        </is>
      </c>
      <c r="I528" t="n">
        <v>1.9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14263-2022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44651</v>
      </c>
      <c r="E529" s="1" t="n">
        <v>46314</v>
      </c>
      <c r="F529" t="inlineStr">
        <is>
          <t>KRONOBERGS LÄN</t>
        </is>
      </c>
      <c r="G529" t="inlineStr">
        <is>
          <t>VÄXJÖ</t>
        </is>
      </c>
      <c r="I529" t="n">
        <v>3.3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35934-2024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45533</v>
      </c>
      <c r="E530" s="1" t="n">
        <v>46314</v>
      </c>
      <c r="F530" t="inlineStr">
        <is>
          <t>KRONOBERGS LÄN</t>
        </is>
      </c>
      <c r="G530" t="inlineStr">
        <is>
          <t>VÄXJÖ</t>
        </is>
      </c>
      <c r="I530" t="n">
        <v>5.6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23849-2026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46167</v>
      </c>
      <c r="E531" s="1" t="n">
        <v>46314</v>
      </c>
      <c r="F531" t="inlineStr">
        <is>
          <t>KRONOBERGS LÄN</t>
        </is>
      </c>
      <c r="G531" t="inlineStr">
        <is>
          <t>VÄXJÖ</t>
        </is>
      </c>
      <c r="I531" t="n">
        <v>8.800000000000001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35543-2023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45147</v>
      </c>
      <c r="E532" s="1" t="n">
        <v>46314</v>
      </c>
      <c r="F532" t="inlineStr">
        <is>
          <t>KRONOBERGS LÄN</t>
        </is>
      </c>
      <c r="G532" t="inlineStr">
        <is>
          <t>VÄXJÖ</t>
        </is>
      </c>
      <c r="I532" t="n">
        <v>1.1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13978-2024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45392</v>
      </c>
      <c r="E533" s="1" t="n">
        <v>46314</v>
      </c>
      <c r="F533" t="inlineStr">
        <is>
          <t>KRONOBERGS LÄN</t>
        </is>
      </c>
      <c r="G533" t="inlineStr">
        <is>
          <t>VÄXJÖ</t>
        </is>
      </c>
      <c r="H533" t="inlineStr">
        <is>
          <t>Sveaskog</t>
        </is>
      </c>
      <c r="I533" t="n">
        <v>0.7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14126-2024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45392</v>
      </c>
      <c r="E534" s="1" t="n">
        <v>46314</v>
      </c>
      <c r="F534" t="inlineStr">
        <is>
          <t>KRONOBERGS LÄN</t>
        </is>
      </c>
      <c r="G534" t="inlineStr">
        <is>
          <t>VÄXJÖ</t>
        </is>
      </c>
      <c r="I534" t="n">
        <v>0.8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27266-2025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45812</v>
      </c>
      <c r="E535" s="1" t="n">
        <v>46314</v>
      </c>
      <c r="F535" t="inlineStr">
        <is>
          <t>KRONOBERGS LÄN</t>
        </is>
      </c>
      <c r="G535" t="inlineStr">
        <is>
          <t>VÄXJÖ</t>
        </is>
      </c>
      <c r="I535" t="n">
        <v>2.3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28565-2023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45103</v>
      </c>
      <c r="E536" s="1" t="n">
        <v>46314</v>
      </c>
      <c r="F536" t="inlineStr">
        <is>
          <t>KRONOBERGS LÄN</t>
        </is>
      </c>
      <c r="G536" t="inlineStr">
        <is>
          <t>VÄXJÖ</t>
        </is>
      </c>
      <c r="I536" t="n">
        <v>1.6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28567-2023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45103</v>
      </c>
      <c r="E537" s="1" t="n">
        <v>46314</v>
      </c>
      <c r="F537" t="inlineStr">
        <is>
          <t>KRONOBERGS LÄN</t>
        </is>
      </c>
      <c r="G537" t="inlineStr">
        <is>
          <t>VÄXJÖ</t>
        </is>
      </c>
      <c r="I537" t="n">
        <v>1.6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28576-2023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45103</v>
      </c>
      <c r="E538" s="1" t="n">
        <v>46314</v>
      </c>
      <c r="F538" t="inlineStr">
        <is>
          <t>KRONOBERGS LÄN</t>
        </is>
      </c>
      <c r="G538" t="inlineStr">
        <is>
          <t>VÄXJÖ</t>
        </is>
      </c>
      <c r="I538" t="n">
        <v>0.2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58046-2023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45247</v>
      </c>
      <c r="E539" s="1" t="n">
        <v>46314</v>
      </c>
      <c r="F539" t="inlineStr">
        <is>
          <t>KRONOBERGS LÄN</t>
        </is>
      </c>
      <c r="G539" t="inlineStr">
        <is>
          <t>VÄXJÖ</t>
        </is>
      </c>
      <c r="I539" t="n">
        <v>0.8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41149-2024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45559</v>
      </c>
      <c r="E540" s="1" t="n">
        <v>46314</v>
      </c>
      <c r="F540" t="inlineStr">
        <is>
          <t>KRONOBERGS LÄN</t>
        </is>
      </c>
      <c r="G540" t="inlineStr">
        <is>
          <t>VÄXJÖ</t>
        </is>
      </c>
      <c r="I540" t="n">
        <v>1.2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45623-2024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45579</v>
      </c>
      <c r="E541" s="1" t="n">
        <v>46314</v>
      </c>
      <c r="F541" t="inlineStr">
        <is>
          <t>KRONOBERGS LÄN</t>
        </is>
      </c>
      <c r="G541" t="inlineStr">
        <is>
          <t>VÄXJÖ</t>
        </is>
      </c>
      <c r="I541" t="n">
        <v>0.6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24100-2026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46168</v>
      </c>
      <c r="E542" s="1" t="n">
        <v>46314</v>
      </c>
      <c r="F542" t="inlineStr">
        <is>
          <t>KRONOBERGS LÄN</t>
        </is>
      </c>
      <c r="G542" t="inlineStr">
        <is>
          <t>VÄXJÖ</t>
        </is>
      </c>
      <c r="I542" t="n">
        <v>1.2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19074-2024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45427</v>
      </c>
      <c r="E543" s="1" t="n">
        <v>46314</v>
      </c>
      <c r="F543" t="inlineStr">
        <is>
          <t>KRONOBERGS LÄN</t>
        </is>
      </c>
      <c r="G543" t="inlineStr">
        <is>
          <t>VÄXJÖ</t>
        </is>
      </c>
      <c r="I543" t="n">
        <v>0.6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58195-2023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45250</v>
      </c>
      <c r="E544" s="1" t="n">
        <v>46314</v>
      </c>
      <c r="F544" t="inlineStr">
        <is>
          <t>KRONOBERGS LÄN</t>
        </is>
      </c>
      <c r="G544" t="inlineStr">
        <is>
          <t>VÄXJÖ</t>
        </is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12916-2025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45733</v>
      </c>
      <c r="E545" s="1" t="n">
        <v>46314</v>
      </c>
      <c r="F545" t="inlineStr">
        <is>
          <t>KRONOBERGS LÄN</t>
        </is>
      </c>
      <c r="G545" t="inlineStr">
        <is>
          <t>VÄXJÖ</t>
        </is>
      </c>
      <c r="I545" t="n">
        <v>0.7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59948-2025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45993</v>
      </c>
      <c r="E546" s="1" t="n">
        <v>46314</v>
      </c>
      <c r="F546" t="inlineStr">
        <is>
          <t>KRONOBERGS LÄN</t>
        </is>
      </c>
      <c r="G546" t="inlineStr">
        <is>
          <t>VÄXJÖ</t>
        </is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60003-2025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45993</v>
      </c>
      <c r="E547" s="1" t="n">
        <v>46314</v>
      </c>
      <c r="F547" t="inlineStr">
        <is>
          <t>KRONOBERGS LÄN</t>
        </is>
      </c>
      <c r="G547" t="inlineStr">
        <is>
          <t>VÄXJÖ</t>
        </is>
      </c>
      <c r="I547" t="n">
        <v>0.7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73647-2021</t>
        </is>
      </c>
      <c r="B548" t="inlineStr">
        <is>
          <t>avverkningsanmälan</t>
        </is>
      </c>
      <c r="C548" t="inlineStr">
        <is>
          <t>Avverkning för annat ändamål</t>
        </is>
      </c>
      <c r="D548" s="1" t="n">
        <v>44552</v>
      </c>
      <c r="E548" s="1" t="n">
        <v>46314</v>
      </c>
      <c r="F548" t="inlineStr">
        <is>
          <t>KRONOBERGS LÄN</t>
        </is>
      </c>
      <c r="G548" t="inlineStr">
        <is>
          <t>VÄXJÖ</t>
        </is>
      </c>
      <c r="I548" t="n">
        <v>0.5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59122-2025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45988</v>
      </c>
      <c r="E549" s="1" t="n">
        <v>46314</v>
      </c>
      <c r="F549" t="inlineStr">
        <is>
          <t>KRONOBERGS LÄN</t>
        </is>
      </c>
      <c r="G549" t="inlineStr">
        <is>
          <t>VÄXJÖ</t>
        </is>
      </c>
      <c r="I549" t="n">
        <v>0.7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42296-2023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45180</v>
      </c>
      <c r="E550" s="1" t="n">
        <v>46314</v>
      </c>
      <c r="F550" t="inlineStr">
        <is>
          <t>KRONOBERGS LÄN</t>
        </is>
      </c>
      <c r="G550" t="inlineStr">
        <is>
          <t>VÄXJÖ</t>
        </is>
      </c>
      <c r="I550" t="n">
        <v>2.3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46044-2024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45580</v>
      </c>
      <c r="E551" s="1" t="n">
        <v>46314</v>
      </c>
      <c r="F551" t="inlineStr">
        <is>
          <t>KRONOBERGS LÄN</t>
        </is>
      </c>
      <c r="G551" t="inlineStr">
        <is>
          <t>VÄXJÖ</t>
        </is>
      </c>
      <c r="I551" t="n">
        <v>0.5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60793-2025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45999</v>
      </c>
      <c r="E552" s="1" t="n">
        <v>46314</v>
      </c>
      <c r="F552" t="inlineStr">
        <is>
          <t>KRONOBERGS LÄN</t>
        </is>
      </c>
      <c r="G552" t="inlineStr">
        <is>
          <t>VÄXJÖ</t>
        </is>
      </c>
      <c r="I552" t="n">
        <v>0.6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30439-2022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44761</v>
      </c>
      <c r="E553" s="1" t="n">
        <v>46314</v>
      </c>
      <c r="F553" t="inlineStr">
        <is>
          <t>KRONOBERGS LÄN</t>
        </is>
      </c>
      <c r="G553" t="inlineStr">
        <is>
          <t>VÄXJÖ</t>
        </is>
      </c>
      <c r="H553" t="inlineStr">
        <is>
          <t>Kyrkan</t>
        </is>
      </c>
      <c r="I553" t="n">
        <v>2.2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24101-2026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46168</v>
      </c>
      <c r="E554" s="1" t="n">
        <v>46314</v>
      </c>
      <c r="F554" t="inlineStr">
        <is>
          <t>KRONOBERGS LÄN</t>
        </is>
      </c>
      <c r="G554" t="inlineStr">
        <is>
          <t>VÄXJÖ</t>
        </is>
      </c>
      <c r="I554" t="n">
        <v>1.4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48159-2025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45933</v>
      </c>
      <c r="E555" s="1" t="n">
        <v>46314</v>
      </c>
      <c r="F555" t="inlineStr">
        <is>
          <t>KRONOBERGS LÄN</t>
        </is>
      </c>
      <c r="G555" t="inlineStr">
        <is>
          <t>VÄXJÖ</t>
        </is>
      </c>
      <c r="I555" t="n">
        <v>1.5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28219-2024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45477</v>
      </c>
      <c r="E556" s="1" t="n">
        <v>46314</v>
      </c>
      <c r="F556" t="inlineStr">
        <is>
          <t>KRONOBERGS LÄN</t>
        </is>
      </c>
      <c r="G556" t="inlineStr">
        <is>
          <t>VÄXJÖ</t>
        </is>
      </c>
      <c r="H556" t="inlineStr">
        <is>
          <t>Sveaskog</t>
        </is>
      </c>
      <c r="I556" t="n">
        <v>0.5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61095-2025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46000</v>
      </c>
      <c r="E557" s="1" t="n">
        <v>46314</v>
      </c>
      <c r="F557" t="inlineStr">
        <is>
          <t>KRONOBERGS LÄN</t>
        </is>
      </c>
      <c r="G557" t="inlineStr">
        <is>
          <t>VÄXJÖ</t>
        </is>
      </c>
      <c r="I557" t="n">
        <v>1.5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41019-2024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45559</v>
      </c>
      <c r="E558" s="1" t="n">
        <v>46314</v>
      </c>
      <c r="F558" t="inlineStr">
        <is>
          <t>KRONOBERGS LÄN</t>
        </is>
      </c>
      <c r="G558" t="inlineStr">
        <is>
          <t>VÄXJÖ</t>
        </is>
      </c>
      <c r="I558" t="n">
        <v>0.5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36522-2023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45153</v>
      </c>
      <c r="E559" s="1" t="n">
        <v>46314</v>
      </c>
      <c r="F559" t="inlineStr">
        <is>
          <t>KRONOBERGS LÄN</t>
        </is>
      </c>
      <c r="G559" t="inlineStr">
        <is>
          <t>VÄXJÖ</t>
        </is>
      </c>
      <c r="I559" t="n">
        <v>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18269-2024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45421</v>
      </c>
      <c r="E560" s="1" t="n">
        <v>46314</v>
      </c>
      <c r="F560" t="inlineStr">
        <is>
          <t>KRONOBERGS LÄN</t>
        </is>
      </c>
      <c r="G560" t="inlineStr">
        <is>
          <t>VÄXJÖ</t>
        </is>
      </c>
      <c r="I560" t="n">
        <v>2.9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61563-2025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46001</v>
      </c>
      <c r="E561" s="1" t="n">
        <v>46314</v>
      </c>
      <c r="F561" t="inlineStr">
        <is>
          <t>KRONOBERGS LÄN</t>
        </is>
      </c>
      <c r="G561" t="inlineStr">
        <is>
          <t>VÄXJÖ</t>
        </is>
      </c>
      <c r="I561" t="n">
        <v>3.6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14347-2026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46100</v>
      </c>
      <c r="E562" s="1" t="n">
        <v>46314</v>
      </c>
      <c r="F562" t="inlineStr">
        <is>
          <t>KRONOBERGS LÄN</t>
        </is>
      </c>
      <c r="G562" t="inlineStr">
        <is>
          <t>VÄXJÖ</t>
        </is>
      </c>
      <c r="I562" t="n">
        <v>1.6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24515-2026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46170</v>
      </c>
      <c r="E563" s="1" t="n">
        <v>46314</v>
      </c>
      <c r="F563" t="inlineStr">
        <is>
          <t>KRONOBERGS LÄN</t>
        </is>
      </c>
      <c r="G563" t="inlineStr">
        <is>
          <t>VÄXJÖ</t>
        </is>
      </c>
      <c r="I563" t="n">
        <v>1.1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37924-2022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44811</v>
      </c>
      <c r="E564" s="1" t="n">
        <v>46314</v>
      </c>
      <c r="F564" t="inlineStr">
        <is>
          <t>KRONOBERGS LÄN</t>
        </is>
      </c>
      <c r="G564" t="inlineStr">
        <is>
          <t>VÄXJÖ</t>
        </is>
      </c>
      <c r="I564" t="n">
        <v>1.2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24607-2026</t>
        </is>
      </c>
      <c r="B565" t="inlineStr">
        <is>
          <t>avverkningsanmälan</t>
        </is>
      </c>
      <c r="C565" t="inlineStr">
        <is>
          <t>Avverkning för att bevara och utveckla /försöksver</t>
        </is>
      </c>
      <c r="D565" s="1" t="n">
        <v>46171</v>
      </c>
      <c r="E565" s="1" t="n">
        <v>46314</v>
      </c>
      <c r="F565" t="inlineStr">
        <is>
          <t>KRONOBERGS LÄN</t>
        </is>
      </c>
      <c r="G565" t="inlineStr">
        <is>
          <t>VÄXJÖ</t>
        </is>
      </c>
      <c r="I565" t="n">
        <v>1.6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50438-2023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45216</v>
      </c>
      <c r="E566" s="1" t="n">
        <v>46314</v>
      </c>
      <c r="F566" t="inlineStr">
        <is>
          <t>KRONOBERGS LÄN</t>
        </is>
      </c>
      <c r="G566" t="inlineStr">
        <is>
          <t>VÄXJÖ</t>
        </is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31022-2023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45113</v>
      </c>
      <c r="E567" s="1" t="n">
        <v>46314</v>
      </c>
      <c r="F567" t="inlineStr">
        <is>
          <t>KRONOBERGS LÄN</t>
        </is>
      </c>
      <c r="G567" t="inlineStr">
        <is>
          <t>VÄXJÖ</t>
        </is>
      </c>
      <c r="I567" t="n">
        <v>0.9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31029-2023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45113</v>
      </c>
      <c r="E568" s="1" t="n">
        <v>46314</v>
      </c>
      <c r="F568" t="inlineStr">
        <is>
          <t>KRONOBERGS LÄN</t>
        </is>
      </c>
      <c r="G568" t="inlineStr">
        <is>
          <t>VÄXJÖ</t>
        </is>
      </c>
      <c r="I568" t="n">
        <v>4.7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62569-2025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46007</v>
      </c>
      <c r="E569" s="1" t="n">
        <v>46314</v>
      </c>
      <c r="F569" t="inlineStr">
        <is>
          <t>KRONOBERGS LÄN</t>
        </is>
      </c>
      <c r="G569" t="inlineStr">
        <is>
          <t>VÄXJÖ</t>
        </is>
      </c>
      <c r="I569" t="n">
        <v>0.6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57443-2022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44896</v>
      </c>
      <c r="E570" s="1" t="n">
        <v>46314</v>
      </c>
      <c r="F570" t="inlineStr">
        <is>
          <t>KRONOBERGS LÄN</t>
        </is>
      </c>
      <c r="G570" t="inlineStr">
        <is>
          <t>VÄXJÖ</t>
        </is>
      </c>
      <c r="I570" t="n">
        <v>1.6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62714-2025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46008</v>
      </c>
      <c r="E571" s="1" t="n">
        <v>46314</v>
      </c>
      <c r="F571" t="inlineStr">
        <is>
          <t>KRONOBERGS LÄN</t>
        </is>
      </c>
      <c r="G571" t="inlineStr">
        <is>
          <t>VÄXJÖ</t>
        </is>
      </c>
      <c r="I571" t="n">
        <v>1.2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63228-2025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46010</v>
      </c>
      <c r="E572" s="1" t="n">
        <v>46314</v>
      </c>
      <c r="F572" t="inlineStr">
        <is>
          <t>KRONOBERGS LÄN</t>
        </is>
      </c>
      <c r="G572" t="inlineStr">
        <is>
          <t>VÄXJÖ</t>
        </is>
      </c>
      <c r="I572" t="n">
        <v>1.5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63240-2025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46010</v>
      </c>
      <c r="E573" s="1" t="n">
        <v>46314</v>
      </c>
      <c r="F573" t="inlineStr">
        <is>
          <t>KRONOBERGS LÄN</t>
        </is>
      </c>
      <c r="G573" t="inlineStr">
        <is>
          <t>VÄXJÖ</t>
        </is>
      </c>
      <c r="I573" t="n">
        <v>2.9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36919-2024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45538</v>
      </c>
      <c r="E574" s="1" t="n">
        <v>46314</v>
      </c>
      <c r="F574" t="inlineStr">
        <is>
          <t>KRONOBERGS LÄN</t>
        </is>
      </c>
      <c r="G574" t="inlineStr">
        <is>
          <t>VÄXJÖ</t>
        </is>
      </c>
      <c r="H574" t="inlineStr">
        <is>
          <t>Kyrkan</t>
        </is>
      </c>
      <c r="I574" t="n">
        <v>6.7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63355-2025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46010</v>
      </c>
      <c r="E575" s="1" t="n">
        <v>46314</v>
      </c>
      <c r="F575" t="inlineStr">
        <is>
          <t>KRONOBERGS LÄN</t>
        </is>
      </c>
      <c r="G575" t="inlineStr">
        <is>
          <t>VÄXJÖ</t>
        </is>
      </c>
      <c r="I575" t="n">
        <v>2.2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60203-2022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44903</v>
      </c>
      <c r="E576" s="1" t="n">
        <v>46314</v>
      </c>
      <c r="F576" t="inlineStr">
        <is>
          <t>KRONOBERGS LÄN</t>
        </is>
      </c>
      <c r="G576" t="inlineStr">
        <is>
          <t>VÄXJÖ</t>
        </is>
      </c>
      <c r="I576" t="n">
        <v>1.1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61964-2021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44502</v>
      </c>
      <c r="E577" s="1" t="n">
        <v>46314</v>
      </c>
      <c r="F577" t="inlineStr">
        <is>
          <t>KRONOBERGS LÄN</t>
        </is>
      </c>
      <c r="G577" t="inlineStr">
        <is>
          <t>VÄXJÖ</t>
        </is>
      </c>
      <c r="I577" t="n">
        <v>1.6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16600-2026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46112</v>
      </c>
      <c r="E578" s="1" t="n">
        <v>46314</v>
      </c>
      <c r="F578" t="inlineStr">
        <is>
          <t>KRONOBERGS LÄN</t>
        </is>
      </c>
      <c r="G578" t="inlineStr">
        <is>
          <t>VÄXJÖ</t>
        </is>
      </c>
      <c r="I578" t="n">
        <v>3.4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24703-2026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46171</v>
      </c>
      <c r="E579" s="1" t="n">
        <v>46314</v>
      </c>
      <c r="F579" t="inlineStr">
        <is>
          <t>KRONOBERGS LÄN</t>
        </is>
      </c>
      <c r="G579" t="inlineStr">
        <is>
          <t>VÄXJÖ</t>
        </is>
      </c>
      <c r="I579" t="n">
        <v>0.5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36745-2024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45538</v>
      </c>
      <c r="E580" s="1" t="n">
        <v>46314</v>
      </c>
      <c r="F580" t="inlineStr">
        <is>
          <t>KRONOBERGS LÄN</t>
        </is>
      </c>
      <c r="G580" t="inlineStr">
        <is>
          <t>VÄXJÖ</t>
        </is>
      </c>
      <c r="I580" t="n">
        <v>1.2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63226-2025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46010</v>
      </c>
      <c r="E581" s="1" t="n">
        <v>46314</v>
      </c>
      <c r="F581" t="inlineStr">
        <is>
          <t>KRONOBERGS LÄN</t>
        </is>
      </c>
      <c r="G581" t="inlineStr">
        <is>
          <t>VÄXJÖ</t>
        </is>
      </c>
      <c r="I581" t="n">
        <v>3.5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1011-2024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45301</v>
      </c>
      <c r="E582" s="1" t="n">
        <v>46314</v>
      </c>
      <c r="F582" t="inlineStr">
        <is>
          <t>KRONOBERGS LÄN</t>
        </is>
      </c>
      <c r="G582" t="inlineStr">
        <is>
          <t>VÄXJÖ</t>
        </is>
      </c>
      <c r="I582" t="n">
        <v>1.7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24701-2026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46171</v>
      </c>
      <c r="E583" s="1" t="n">
        <v>46314</v>
      </c>
      <c r="F583" t="inlineStr">
        <is>
          <t>KRONOBERGS LÄN</t>
        </is>
      </c>
      <c r="G583" t="inlineStr">
        <is>
          <t>VÄXJÖ</t>
        </is>
      </c>
      <c r="I583" t="n">
        <v>1.2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5477-2022</t>
        </is>
      </c>
      <c r="B584" t="inlineStr">
        <is>
          <t>avverkningsanmälan</t>
        </is>
      </c>
      <c r="C584" t="inlineStr">
        <is>
          <t>Avverkning för annat ändamål</t>
        </is>
      </c>
      <c r="D584" s="1" t="n">
        <v>44595</v>
      </c>
      <c r="E584" s="1" t="n">
        <v>46314</v>
      </c>
      <c r="F584" t="inlineStr">
        <is>
          <t>KRONOBERGS LÄN</t>
        </is>
      </c>
      <c r="G584" t="inlineStr">
        <is>
          <t>VÄXJÖ</t>
        </is>
      </c>
      <c r="I584" t="n">
        <v>2.6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5165-2024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45330</v>
      </c>
      <c r="E585" s="1" t="n">
        <v>46314</v>
      </c>
      <c r="F585" t="inlineStr">
        <is>
          <t>KRONOBERGS LÄN</t>
        </is>
      </c>
      <c r="G585" t="inlineStr">
        <is>
          <t>VÄXJÖ</t>
        </is>
      </c>
      <c r="H585" t="inlineStr">
        <is>
          <t>Övriga Aktiebolag</t>
        </is>
      </c>
      <c r="I585" t="n">
        <v>4.6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58181-2023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45250</v>
      </c>
      <c r="E586" s="1" t="n">
        <v>46314</v>
      </c>
      <c r="F586" t="inlineStr">
        <is>
          <t>KRONOBERGS LÄN</t>
        </is>
      </c>
      <c r="G586" t="inlineStr">
        <is>
          <t>VÄXJÖ</t>
        </is>
      </c>
      <c r="I586" t="n">
        <v>0.5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111-2026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46019</v>
      </c>
      <c r="E587" s="1" t="n">
        <v>46314</v>
      </c>
      <c r="F587" t="inlineStr">
        <is>
          <t>KRONOBERGS LÄN</t>
        </is>
      </c>
      <c r="G587" t="inlineStr">
        <is>
          <t>VÄXJÖ</t>
        </is>
      </c>
      <c r="I587" t="n">
        <v>3.1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4721-2022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44592</v>
      </c>
      <c r="E588" s="1" t="n">
        <v>46314</v>
      </c>
      <c r="F588" t="inlineStr">
        <is>
          <t>KRONOBERGS LÄN</t>
        </is>
      </c>
      <c r="G588" t="inlineStr">
        <is>
          <t>VÄXJÖ</t>
        </is>
      </c>
      <c r="I588" t="n">
        <v>0.8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10892-2025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45722</v>
      </c>
      <c r="E589" s="1" t="n">
        <v>46314</v>
      </c>
      <c r="F589" t="inlineStr">
        <is>
          <t>KRONOBERGS LÄN</t>
        </is>
      </c>
      <c r="G589" t="inlineStr">
        <is>
          <t>VÄXJÖ</t>
        </is>
      </c>
      <c r="I589" t="n">
        <v>0.5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116-2026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46019</v>
      </c>
      <c r="E590" s="1" t="n">
        <v>46314</v>
      </c>
      <c r="F590" t="inlineStr">
        <is>
          <t>KRONOBERGS LÄN</t>
        </is>
      </c>
      <c r="G590" t="inlineStr">
        <is>
          <t>VÄXJÖ</t>
        </is>
      </c>
      <c r="I590" t="n">
        <v>1.5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40622-2024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45557</v>
      </c>
      <c r="E591" s="1" t="n">
        <v>46314</v>
      </c>
      <c r="F591" t="inlineStr">
        <is>
          <t>KRONOBERGS LÄN</t>
        </is>
      </c>
      <c r="G591" t="inlineStr">
        <is>
          <t>VÄXJÖ</t>
        </is>
      </c>
      <c r="I591" t="n">
        <v>0.9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578-2026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46029</v>
      </c>
      <c r="E592" s="1" t="n">
        <v>46314</v>
      </c>
      <c r="F592" t="inlineStr">
        <is>
          <t>KRONOBERGS LÄN</t>
        </is>
      </c>
      <c r="G592" t="inlineStr">
        <is>
          <t>VÄXJÖ</t>
        </is>
      </c>
      <c r="I592" t="n">
        <v>4.4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587-2026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46029</v>
      </c>
      <c r="E593" s="1" t="n">
        <v>46314</v>
      </c>
      <c r="F593" t="inlineStr">
        <is>
          <t>KRONOBERGS LÄN</t>
        </is>
      </c>
      <c r="G593" t="inlineStr">
        <is>
          <t>VÄXJÖ</t>
        </is>
      </c>
      <c r="I593" t="n">
        <v>2.7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19712-2024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45432</v>
      </c>
      <c r="E594" s="1" t="n">
        <v>46314</v>
      </c>
      <c r="F594" t="inlineStr">
        <is>
          <t>KRONOBERGS LÄN</t>
        </is>
      </c>
      <c r="G594" t="inlineStr">
        <is>
          <t>VÄXJÖ</t>
        </is>
      </c>
      <c r="I594" t="n">
        <v>0.5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18427-2022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44686</v>
      </c>
      <c r="E595" s="1" t="n">
        <v>46314</v>
      </c>
      <c r="F595" t="inlineStr">
        <is>
          <t>KRONOBERGS LÄN</t>
        </is>
      </c>
      <c r="G595" t="inlineStr">
        <is>
          <t>VÄXJÖ</t>
        </is>
      </c>
      <c r="I595" t="n">
        <v>0.7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1222-2026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46031</v>
      </c>
      <c r="E596" s="1" t="n">
        <v>46314</v>
      </c>
      <c r="F596" t="inlineStr">
        <is>
          <t>KRONOBERGS LÄN</t>
        </is>
      </c>
      <c r="G596" t="inlineStr">
        <is>
          <t>VÄXJÖ</t>
        </is>
      </c>
      <c r="H596" t="inlineStr">
        <is>
          <t>Sveaskog</t>
        </is>
      </c>
      <c r="I596" t="n">
        <v>17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1218-2026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46031</v>
      </c>
      <c r="E597" s="1" t="n">
        <v>46314</v>
      </c>
      <c r="F597" t="inlineStr">
        <is>
          <t>KRONOBERGS LÄN</t>
        </is>
      </c>
      <c r="G597" t="inlineStr">
        <is>
          <t>VÄXJÖ</t>
        </is>
      </c>
      <c r="H597" t="inlineStr">
        <is>
          <t>Sveaskog</t>
        </is>
      </c>
      <c r="I597" t="n">
        <v>3.6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1798-2026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46035</v>
      </c>
      <c r="E598" s="1" t="n">
        <v>46314</v>
      </c>
      <c r="F598" t="inlineStr">
        <is>
          <t>KRONOBERGS LÄN</t>
        </is>
      </c>
      <c r="G598" t="inlineStr">
        <is>
          <t>VÄXJÖ</t>
        </is>
      </c>
      <c r="H598" t="inlineStr">
        <is>
          <t>Sveaskog</t>
        </is>
      </c>
      <c r="I598" t="n">
        <v>3.4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15223-2024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45400</v>
      </c>
      <c r="E599" s="1" t="n">
        <v>46314</v>
      </c>
      <c r="F599" t="inlineStr">
        <is>
          <t>KRONOBERGS LÄN</t>
        </is>
      </c>
      <c r="G599" t="inlineStr">
        <is>
          <t>VÄXJÖ</t>
        </is>
      </c>
      <c r="I599" t="n">
        <v>0.9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21274-2022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44705</v>
      </c>
      <c r="E600" s="1" t="n">
        <v>46314</v>
      </c>
      <c r="F600" t="inlineStr">
        <is>
          <t>KRONOBERGS LÄN</t>
        </is>
      </c>
      <c r="G600" t="inlineStr">
        <is>
          <t>VÄXJÖ</t>
        </is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2913-2024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45315</v>
      </c>
      <c r="E601" s="1" t="n">
        <v>46314</v>
      </c>
      <c r="F601" t="inlineStr">
        <is>
          <t>KRONOBERGS LÄN</t>
        </is>
      </c>
      <c r="G601" t="inlineStr">
        <is>
          <t>VÄXJÖ</t>
        </is>
      </c>
      <c r="I601" t="n">
        <v>3.3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1819-2026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46035</v>
      </c>
      <c r="E602" s="1" t="n">
        <v>46314</v>
      </c>
      <c r="F602" t="inlineStr">
        <is>
          <t>KRONOBERGS LÄN</t>
        </is>
      </c>
      <c r="G602" t="inlineStr">
        <is>
          <t>VÄXJÖ</t>
        </is>
      </c>
      <c r="H602" t="inlineStr">
        <is>
          <t>Sveaskog</t>
        </is>
      </c>
      <c r="I602" t="n">
        <v>1.4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1802-2026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46035</v>
      </c>
      <c r="E603" s="1" t="n">
        <v>46314</v>
      </c>
      <c r="F603" t="inlineStr">
        <is>
          <t>KRONOBERGS LÄN</t>
        </is>
      </c>
      <c r="G603" t="inlineStr">
        <is>
          <t>VÄXJÖ</t>
        </is>
      </c>
      <c r="H603" t="inlineStr">
        <is>
          <t>Sveaskog</t>
        </is>
      </c>
      <c r="I603" t="n">
        <v>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2150-2026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46036</v>
      </c>
      <c r="E604" s="1" t="n">
        <v>46314</v>
      </c>
      <c r="F604" t="inlineStr">
        <is>
          <t>KRONOBERGS LÄN</t>
        </is>
      </c>
      <c r="G604" t="inlineStr">
        <is>
          <t>VÄXJÖ</t>
        </is>
      </c>
      <c r="I604" t="n">
        <v>2.6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2157-2026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46036</v>
      </c>
      <c r="E605" s="1" t="n">
        <v>46314</v>
      </c>
      <c r="F605" t="inlineStr">
        <is>
          <t>KRONOBERGS LÄN</t>
        </is>
      </c>
      <c r="G605" t="inlineStr">
        <is>
          <t>VÄXJÖ</t>
        </is>
      </c>
      <c r="I605" t="n">
        <v>1.7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2385-2026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46036</v>
      </c>
      <c r="E606" s="1" t="n">
        <v>46314</v>
      </c>
      <c r="F606" t="inlineStr">
        <is>
          <t>KRONOBERGS LÄN</t>
        </is>
      </c>
      <c r="G606" t="inlineStr">
        <is>
          <t>VÄXJÖ</t>
        </is>
      </c>
      <c r="I606" t="n">
        <v>3.8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19609-2026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46134</v>
      </c>
      <c r="E607" s="1" t="n">
        <v>46314</v>
      </c>
      <c r="F607" t="inlineStr">
        <is>
          <t>KRONOBERGS LÄN</t>
        </is>
      </c>
      <c r="G607" t="inlineStr">
        <is>
          <t>VÄXJÖ</t>
        </is>
      </c>
      <c r="I607" t="n">
        <v>1.2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19622-2026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46134</v>
      </c>
      <c r="E608" s="1" t="n">
        <v>46314</v>
      </c>
      <c r="F608" t="inlineStr">
        <is>
          <t>KRONOBERGS LÄN</t>
        </is>
      </c>
      <c r="G608" t="inlineStr">
        <is>
          <t>VÄXJÖ</t>
        </is>
      </c>
      <c r="I608" t="n">
        <v>0.7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45307-2025</t>
        </is>
      </c>
      <c r="B609" t="inlineStr">
        <is>
          <t>avverkningsanmälan</t>
        </is>
      </c>
      <c r="C609" t="inlineStr">
        <is>
          <t>Avverkning för annat ändamål</t>
        </is>
      </c>
      <c r="D609" s="1" t="n">
        <v>45921</v>
      </c>
      <c r="E609" s="1" t="n">
        <v>46314</v>
      </c>
      <c r="F609" t="inlineStr">
        <is>
          <t>KRONOBERGS LÄN</t>
        </is>
      </c>
      <c r="G609" t="inlineStr">
        <is>
          <t>VÄXJÖ</t>
        </is>
      </c>
      <c r="I609" t="n">
        <v>1.7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3133-2026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46041</v>
      </c>
      <c r="E610" s="1" t="n">
        <v>46314</v>
      </c>
      <c r="F610" t="inlineStr">
        <is>
          <t>KRONOBERGS LÄN</t>
        </is>
      </c>
      <c r="G610" t="inlineStr">
        <is>
          <t>VÄXJÖ</t>
        </is>
      </c>
      <c r="I610" t="n">
        <v>0.4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21768-2023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45065</v>
      </c>
      <c r="E611" s="1" t="n">
        <v>46314</v>
      </c>
      <c r="F611" t="inlineStr">
        <is>
          <t>KRONOBERGS LÄN</t>
        </is>
      </c>
      <c r="G611" t="inlineStr">
        <is>
          <t>VÄXJÖ</t>
        </is>
      </c>
      <c r="I611" t="n">
        <v>0.8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27675-2022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44743</v>
      </c>
      <c r="E612" s="1" t="n">
        <v>46314</v>
      </c>
      <c r="F612" t="inlineStr">
        <is>
          <t>KRONOBERGS LÄN</t>
        </is>
      </c>
      <c r="G612" t="inlineStr">
        <is>
          <t>VÄXJÖ</t>
        </is>
      </c>
      <c r="I612" t="n">
        <v>1.4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32498-2023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45121</v>
      </c>
      <c r="E613" s="1" t="n">
        <v>46314</v>
      </c>
      <c r="F613" t="inlineStr">
        <is>
          <t>KRONOBERGS LÄN</t>
        </is>
      </c>
      <c r="G613" t="inlineStr">
        <is>
          <t>VÄXJÖ</t>
        </is>
      </c>
      <c r="I613" t="n">
        <v>1.4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42362-2022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44831</v>
      </c>
      <c r="E614" s="1" t="n">
        <v>46314</v>
      </c>
      <c r="F614" t="inlineStr">
        <is>
          <t>KRONOBERGS LÄN</t>
        </is>
      </c>
      <c r="G614" t="inlineStr">
        <is>
          <t>VÄXJÖ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1234-2024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45302</v>
      </c>
      <c r="E615" s="1" t="n">
        <v>46314</v>
      </c>
      <c r="F615" t="inlineStr">
        <is>
          <t>KRONOBERGS LÄN</t>
        </is>
      </c>
      <c r="G615" t="inlineStr">
        <is>
          <t>VÄXJÖ</t>
        </is>
      </c>
      <c r="I615" t="n">
        <v>0.7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44426-2024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45573</v>
      </c>
      <c r="E616" s="1" t="n">
        <v>46314</v>
      </c>
      <c r="F616" t="inlineStr">
        <is>
          <t>KRONOBERGS LÄN</t>
        </is>
      </c>
      <c r="G616" t="inlineStr">
        <is>
          <t>VÄXJÖ</t>
        </is>
      </c>
      <c r="I616" t="n">
        <v>0.5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16945-2022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44676</v>
      </c>
      <c r="E617" s="1" t="n">
        <v>46314</v>
      </c>
      <c r="F617" t="inlineStr">
        <is>
          <t>KRONOBERGS LÄN</t>
        </is>
      </c>
      <c r="G617" t="inlineStr">
        <is>
          <t>VÄXJÖ</t>
        </is>
      </c>
      <c r="H617" t="inlineStr">
        <is>
          <t>Sveaskog</t>
        </is>
      </c>
      <c r="I617" t="n">
        <v>1.1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3856-2026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46043</v>
      </c>
      <c r="E618" s="1" t="n">
        <v>46314</v>
      </c>
      <c r="F618" t="inlineStr">
        <is>
          <t>KRONOBERGS LÄN</t>
        </is>
      </c>
      <c r="G618" t="inlineStr">
        <is>
          <t>VÄXJÖ</t>
        </is>
      </c>
      <c r="I618" t="n">
        <v>2.5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4457-2026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46045</v>
      </c>
      <c r="E619" s="1" t="n">
        <v>46314</v>
      </c>
      <c r="F619" t="inlineStr">
        <is>
          <t>KRONOBERGS LÄN</t>
        </is>
      </c>
      <c r="G619" t="inlineStr">
        <is>
          <t>VÄXJÖ</t>
        </is>
      </c>
      <c r="I619" t="n">
        <v>2.1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17597-2023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45036</v>
      </c>
      <c r="E620" s="1" t="n">
        <v>46314</v>
      </c>
      <c r="F620" t="inlineStr">
        <is>
          <t>KRONOBERGS LÄN</t>
        </is>
      </c>
      <c r="G620" t="inlineStr">
        <is>
          <t>VÄXJÖ</t>
        </is>
      </c>
      <c r="I620" t="n">
        <v>1.2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4310-2026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46045</v>
      </c>
      <c r="E621" s="1" t="n">
        <v>46314</v>
      </c>
      <c r="F621" t="inlineStr">
        <is>
          <t>KRONOBERGS LÄN</t>
        </is>
      </c>
      <c r="G621" t="inlineStr">
        <is>
          <t>VÄXJÖ</t>
        </is>
      </c>
      <c r="I621" t="n">
        <v>0.8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1239-2024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45302</v>
      </c>
      <c r="E622" s="1" t="n">
        <v>46314</v>
      </c>
      <c r="F622" t="inlineStr">
        <is>
          <t>KRONOBERGS LÄN</t>
        </is>
      </c>
      <c r="G622" t="inlineStr">
        <is>
          <t>VÄXJÖ</t>
        </is>
      </c>
      <c r="I622" t="n">
        <v>0.5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19619-2026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46134</v>
      </c>
      <c r="E623" s="1" t="n">
        <v>46314</v>
      </c>
      <c r="F623" t="inlineStr">
        <is>
          <t>KRONOBERGS LÄN</t>
        </is>
      </c>
      <c r="G623" t="inlineStr">
        <is>
          <t>VÄXJÖ</t>
        </is>
      </c>
      <c r="I623" t="n">
        <v>0.8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5182-2026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46049</v>
      </c>
      <c r="E624" s="1" t="n">
        <v>46314</v>
      </c>
      <c r="F624" t="inlineStr">
        <is>
          <t>KRONOBERGS LÄN</t>
        </is>
      </c>
      <c r="G624" t="inlineStr">
        <is>
          <t>VÄXJÖ</t>
        </is>
      </c>
      <c r="I624" t="n">
        <v>1.3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5128-2026</t>
        </is>
      </c>
      <c r="B625" t="inlineStr">
        <is>
          <t>avverkningsanmälan</t>
        </is>
      </c>
      <c r="C625" t="inlineStr">
        <is>
          <t>Avverkning för annat ändamål</t>
        </is>
      </c>
      <c r="D625" s="1" t="n">
        <v>46048</v>
      </c>
      <c r="E625" s="1" t="n">
        <v>46314</v>
      </c>
      <c r="F625" t="inlineStr">
        <is>
          <t>KRONOBERGS LÄN</t>
        </is>
      </c>
      <c r="G625" t="inlineStr">
        <is>
          <t>VÄXJÖ</t>
        </is>
      </c>
      <c r="I625" t="n">
        <v>0.9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58165-2024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45632</v>
      </c>
      <c r="E626" s="1" t="n">
        <v>46314</v>
      </c>
      <c r="F626" t="inlineStr">
        <is>
          <t>KRONOBERGS LÄN</t>
        </is>
      </c>
      <c r="G626" t="inlineStr">
        <is>
          <t>VÄXJÖ</t>
        </is>
      </c>
      <c r="I626" t="n">
        <v>5.4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44141-2023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45188</v>
      </c>
      <c r="E627" s="1" t="n">
        <v>46314</v>
      </c>
      <c r="F627" t="inlineStr">
        <is>
          <t>KRONOBERGS LÄN</t>
        </is>
      </c>
      <c r="G627" t="inlineStr">
        <is>
          <t>VÄXJÖ</t>
        </is>
      </c>
      <c r="I627" t="n">
        <v>2.2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39689-2024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45552</v>
      </c>
      <c r="E628" s="1" t="n">
        <v>46314</v>
      </c>
      <c r="F628" t="inlineStr">
        <is>
          <t>KRONOBERGS LÄN</t>
        </is>
      </c>
      <c r="G628" t="inlineStr">
        <is>
          <t>VÄXJÖ</t>
        </is>
      </c>
      <c r="I628" t="n">
        <v>0.7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5179-2026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46049</v>
      </c>
      <c r="E629" s="1" t="n">
        <v>46314</v>
      </c>
      <c r="F629" t="inlineStr">
        <is>
          <t>KRONOBERGS LÄN</t>
        </is>
      </c>
      <c r="G629" t="inlineStr">
        <is>
          <t>VÄXJÖ</t>
        </is>
      </c>
      <c r="I629" t="n">
        <v>2.2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24512-2026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46170</v>
      </c>
      <c r="E630" s="1" t="n">
        <v>46314</v>
      </c>
      <c r="F630" t="inlineStr">
        <is>
          <t>KRONOBERGS LÄN</t>
        </is>
      </c>
      <c r="G630" t="inlineStr">
        <is>
          <t>VÄXJÖ</t>
        </is>
      </c>
      <c r="I630" t="n">
        <v>4.7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42762-2023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45181</v>
      </c>
      <c r="E631" s="1" t="n">
        <v>46314</v>
      </c>
      <c r="F631" t="inlineStr">
        <is>
          <t>KRONOBERGS LÄN</t>
        </is>
      </c>
      <c r="G631" t="inlineStr">
        <is>
          <t>VÄXJÖ</t>
        </is>
      </c>
      <c r="I631" t="n">
        <v>1.9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5196-2026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46049</v>
      </c>
      <c r="E632" s="1" t="n">
        <v>46314</v>
      </c>
      <c r="F632" t="inlineStr">
        <is>
          <t>KRONOBERGS LÄN</t>
        </is>
      </c>
      <c r="G632" t="inlineStr">
        <is>
          <t>VÄXJÖ</t>
        </is>
      </c>
      <c r="I632" t="n">
        <v>1.1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5783-2026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46051</v>
      </c>
      <c r="E633" s="1" t="n">
        <v>46314</v>
      </c>
      <c r="F633" t="inlineStr">
        <is>
          <t>KRONOBERGS LÄN</t>
        </is>
      </c>
      <c r="G633" t="inlineStr">
        <is>
          <t>VÄXJÖ</t>
        </is>
      </c>
      <c r="I633" t="n">
        <v>1.2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22668-2023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45071</v>
      </c>
      <c r="E634" s="1" t="n">
        <v>46314</v>
      </c>
      <c r="F634" t="inlineStr">
        <is>
          <t>KRONOBERGS LÄN</t>
        </is>
      </c>
      <c r="G634" t="inlineStr">
        <is>
          <t>VÄXJÖ</t>
        </is>
      </c>
      <c r="H634" t="inlineStr">
        <is>
          <t>Övriga Aktiebolag</t>
        </is>
      </c>
      <c r="I634" t="n">
        <v>1.3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40972-2024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45558</v>
      </c>
      <c r="E635" s="1" t="n">
        <v>46314</v>
      </c>
      <c r="F635" t="inlineStr">
        <is>
          <t>KRONOBERGS LÄN</t>
        </is>
      </c>
      <c r="G635" t="inlineStr">
        <is>
          <t>VÄXJÖ</t>
        </is>
      </c>
      <c r="I635" t="n">
        <v>2.1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49008-2024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45594</v>
      </c>
      <c r="E636" s="1" t="n">
        <v>46314</v>
      </c>
      <c r="F636" t="inlineStr">
        <is>
          <t>KRONOBERGS LÄN</t>
        </is>
      </c>
      <c r="G636" t="inlineStr">
        <is>
          <t>VÄXJÖ</t>
        </is>
      </c>
      <c r="H636" t="inlineStr">
        <is>
          <t>Sveaskog</t>
        </is>
      </c>
      <c r="I636" t="n">
        <v>0.4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49020-2024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45594</v>
      </c>
      <c r="E637" s="1" t="n">
        <v>46314</v>
      </c>
      <c r="F637" t="inlineStr">
        <is>
          <t>KRONOBERGS LÄN</t>
        </is>
      </c>
      <c r="G637" t="inlineStr">
        <is>
          <t>VÄXJÖ</t>
        </is>
      </c>
      <c r="H637" t="inlineStr">
        <is>
          <t>Sveaskog</t>
        </is>
      </c>
      <c r="I637" t="n">
        <v>1.7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49024-2024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45594</v>
      </c>
      <c r="E638" s="1" t="n">
        <v>46314</v>
      </c>
      <c r="F638" t="inlineStr">
        <is>
          <t>KRONOBERGS LÄN</t>
        </is>
      </c>
      <c r="G638" t="inlineStr">
        <is>
          <t>VÄXJÖ</t>
        </is>
      </c>
      <c r="H638" t="inlineStr">
        <is>
          <t>Sveaskog</t>
        </is>
      </c>
      <c r="I638" t="n">
        <v>0.7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6580-2026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46056</v>
      </c>
      <c r="E639" s="1" t="n">
        <v>46314</v>
      </c>
      <c r="F639" t="inlineStr">
        <is>
          <t>KRONOBERGS LÄN</t>
        </is>
      </c>
      <c r="G639" t="inlineStr">
        <is>
          <t>VÄXJÖ</t>
        </is>
      </c>
      <c r="I639" t="n">
        <v>0.6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26484-2026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46183</v>
      </c>
      <c r="E640" s="1" t="n">
        <v>46314</v>
      </c>
      <c r="F640" t="inlineStr">
        <is>
          <t>KRONOBERGS LÄN</t>
        </is>
      </c>
      <c r="G640" t="inlineStr">
        <is>
          <t>VÄXJÖ</t>
        </is>
      </c>
      <c r="I640" t="n">
        <v>1.3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26371-2026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46183</v>
      </c>
      <c r="E641" s="1" t="n">
        <v>46314</v>
      </c>
      <c r="F641" t="inlineStr">
        <is>
          <t>KRONOBERGS LÄN</t>
        </is>
      </c>
      <c r="G641" t="inlineStr">
        <is>
          <t>VÄXJÖ</t>
        </is>
      </c>
      <c r="I641" t="n">
        <v>2.5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26454-2026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46183</v>
      </c>
      <c r="E642" s="1" t="n">
        <v>46314</v>
      </c>
      <c r="F642" t="inlineStr">
        <is>
          <t>KRONOBERGS LÄN</t>
        </is>
      </c>
      <c r="G642" t="inlineStr">
        <is>
          <t>VÄXJÖ</t>
        </is>
      </c>
      <c r="I642" t="n">
        <v>1.1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6583-2026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46056</v>
      </c>
      <c r="E643" s="1" t="n">
        <v>46314</v>
      </c>
      <c r="F643" t="inlineStr">
        <is>
          <t>KRONOBERGS LÄN</t>
        </is>
      </c>
      <c r="G643" t="inlineStr">
        <is>
          <t>VÄXJÖ</t>
        </is>
      </c>
      <c r="I643" t="n">
        <v>0.9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6942-2026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46057</v>
      </c>
      <c r="E644" s="1" t="n">
        <v>46314</v>
      </c>
      <c r="F644" t="inlineStr">
        <is>
          <t>KRONOBERGS LÄN</t>
        </is>
      </c>
      <c r="G644" t="inlineStr">
        <is>
          <t>VÄXJÖ</t>
        </is>
      </c>
      <c r="I644" t="n">
        <v>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5486-2025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45693</v>
      </c>
      <c r="E645" s="1" t="n">
        <v>46314</v>
      </c>
      <c r="F645" t="inlineStr">
        <is>
          <t>KRONOBERGS LÄN</t>
        </is>
      </c>
      <c r="G645" t="inlineStr">
        <is>
          <t>VÄXJÖ</t>
        </is>
      </c>
      <c r="I645" t="n">
        <v>2.6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26492-2026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46183</v>
      </c>
      <c r="E646" s="1" t="n">
        <v>46314</v>
      </c>
      <c r="F646" t="inlineStr">
        <is>
          <t>KRONOBERGS LÄN</t>
        </is>
      </c>
      <c r="G646" t="inlineStr">
        <is>
          <t>VÄXJÖ</t>
        </is>
      </c>
      <c r="I646" t="n">
        <v>0.8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7391-2026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46059</v>
      </c>
      <c r="E647" s="1" t="n">
        <v>46314</v>
      </c>
      <c r="F647" t="inlineStr">
        <is>
          <t>KRONOBERGS LÄN</t>
        </is>
      </c>
      <c r="G647" t="inlineStr">
        <is>
          <t>VÄXJÖ</t>
        </is>
      </c>
      <c r="I647" t="n">
        <v>2.2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7406-2026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46059</v>
      </c>
      <c r="E648" s="1" t="n">
        <v>46314</v>
      </c>
      <c r="F648" t="inlineStr">
        <is>
          <t>KRONOBERGS LÄN</t>
        </is>
      </c>
      <c r="G648" t="inlineStr">
        <is>
          <t>VÄXJÖ</t>
        </is>
      </c>
      <c r="I648" t="n">
        <v>0.7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7395-2026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46059</v>
      </c>
      <c r="E649" s="1" t="n">
        <v>46314</v>
      </c>
      <c r="F649" t="inlineStr">
        <is>
          <t>KRONOBERGS LÄN</t>
        </is>
      </c>
      <c r="G649" t="inlineStr">
        <is>
          <t>VÄXJÖ</t>
        </is>
      </c>
      <c r="I649" t="n">
        <v>0.9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18996-2025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45764</v>
      </c>
      <c r="E650" s="1" t="n">
        <v>46314</v>
      </c>
      <c r="F650" t="inlineStr">
        <is>
          <t>KRONOBERGS LÄN</t>
        </is>
      </c>
      <c r="G650" t="inlineStr">
        <is>
          <t>VÄXJÖ</t>
        </is>
      </c>
      <c r="I650" t="n">
        <v>1.7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60733-2024</t>
        </is>
      </c>
      <c r="B651" t="inlineStr">
        <is>
          <t>avverkningsanmälan</t>
        </is>
      </c>
      <c r="C651" t="inlineStr">
        <is>
          <t>Avverkning för annat ändamål</t>
        </is>
      </c>
      <c r="D651" s="1" t="n">
        <v>45644</v>
      </c>
      <c r="E651" s="1" t="n">
        <v>46314</v>
      </c>
      <c r="F651" t="inlineStr">
        <is>
          <t>KRONOBERGS LÄN</t>
        </is>
      </c>
      <c r="G651" t="inlineStr">
        <is>
          <t>VÄXJÖ</t>
        </is>
      </c>
      <c r="I651" t="n">
        <v>0.5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20335-2023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45056</v>
      </c>
      <c r="E652" s="1" t="n">
        <v>46314</v>
      </c>
      <c r="F652" t="inlineStr">
        <is>
          <t>KRONOBERGS LÄN</t>
        </is>
      </c>
      <c r="G652" t="inlineStr">
        <is>
          <t>VÄXJÖ</t>
        </is>
      </c>
      <c r="I652" t="n">
        <v>1.3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17775-2023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45037</v>
      </c>
      <c r="E653" s="1" t="n">
        <v>46314</v>
      </c>
      <c r="F653" t="inlineStr">
        <is>
          <t>KRONOBERGS LÄN</t>
        </is>
      </c>
      <c r="G653" t="inlineStr">
        <is>
          <t>VÄXJÖ</t>
        </is>
      </c>
      <c r="I653" t="n">
        <v>1.4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17778-2023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45037</v>
      </c>
      <c r="E654" s="1" t="n">
        <v>46314</v>
      </c>
      <c r="F654" t="inlineStr">
        <is>
          <t>KRONOBERGS LÄN</t>
        </is>
      </c>
      <c r="G654" t="inlineStr">
        <is>
          <t>VÄXJÖ</t>
        </is>
      </c>
      <c r="I654" t="n">
        <v>0.9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46214-2024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45581</v>
      </c>
      <c r="E655" s="1" t="n">
        <v>46314</v>
      </c>
      <c r="F655" t="inlineStr">
        <is>
          <t>KRONOBERGS LÄN</t>
        </is>
      </c>
      <c r="G655" t="inlineStr">
        <is>
          <t>VÄXJÖ</t>
        </is>
      </c>
      <c r="I655" t="n">
        <v>0.5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7575-2026</t>
        </is>
      </c>
      <c r="B656" t="inlineStr">
        <is>
          <t>avverkningsanmälan</t>
        </is>
      </c>
      <c r="C656" t="inlineStr">
        <is>
          <t>Avverkning för annat ändamål</t>
        </is>
      </c>
      <c r="D656" s="1" t="n">
        <v>46061</v>
      </c>
      <c r="E656" s="1" t="n">
        <v>46314</v>
      </c>
      <c r="F656" t="inlineStr">
        <is>
          <t>KRONOBERGS LÄN</t>
        </is>
      </c>
      <c r="G656" t="inlineStr">
        <is>
          <t>VÄXJÖ</t>
        </is>
      </c>
      <c r="I656" t="n">
        <v>2.4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8038-2022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44609</v>
      </c>
      <c r="E657" s="1" t="n">
        <v>46314</v>
      </c>
      <c r="F657" t="inlineStr">
        <is>
          <t>KRONOBERGS LÄN</t>
        </is>
      </c>
      <c r="G657" t="inlineStr">
        <is>
          <t>VÄXJÖ</t>
        </is>
      </c>
      <c r="I657" t="n">
        <v>0.7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14380-2022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44652</v>
      </c>
      <c r="E658" s="1" t="n">
        <v>46314</v>
      </c>
      <c r="F658" t="inlineStr">
        <is>
          <t>KRONOBERGS LÄN</t>
        </is>
      </c>
      <c r="G658" t="inlineStr">
        <is>
          <t>VÄXJÖ</t>
        </is>
      </c>
      <c r="I658" t="n">
        <v>2.6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4423-2023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44956</v>
      </c>
      <c r="E659" s="1" t="n">
        <v>46314</v>
      </c>
      <c r="F659" t="inlineStr">
        <is>
          <t>KRONOBERGS LÄN</t>
        </is>
      </c>
      <c r="G659" t="inlineStr">
        <is>
          <t>VÄXJÖ</t>
        </is>
      </c>
      <c r="I659" t="n">
        <v>0.5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783-2024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45300</v>
      </c>
      <c r="E660" s="1" t="n">
        <v>46314</v>
      </c>
      <c r="F660" t="inlineStr">
        <is>
          <t>KRONOBERGS LÄN</t>
        </is>
      </c>
      <c r="G660" t="inlineStr">
        <is>
          <t>VÄXJÖ</t>
        </is>
      </c>
      <c r="I660" t="n">
        <v>1.7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49619-2023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45211</v>
      </c>
      <c r="E661" s="1" t="n">
        <v>46314</v>
      </c>
      <c r="F661" t="inlineStr">
        <is>
          <t>KRONOBERGS LÄN</t>
        </is>
      </c>
      <c r="G661" t="inlineStr">
        <is>
          <t>VÄXJÖ</t>
        </is>
      </c>
      <c r="I661" t="n">
        <v>3.7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27208-2026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46188</v>
      </c>
      <c r="E662" s="1" t="n">
        <v>46314</v>
      </c>
      <c r="F662" t="inlineStr">
        <is>
          <t>KRONOBERGS LÄN</t>
        </is>
      </c>
      <c r="G662" t="inlineStr">
        <is>
          <t>VÄXJÖ</t>
        </is>
      </c>
      <c r="I662" t="n">
        <v>2.5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10033-2026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46073</v>
      </c>
      <c r="E663" s="1" t="n">
        <v>46314</v>
      </c>
      <c r="F663" t="inlineStr">
        <is>
          <t>KRONOBERGS LÄN</t>
        </is>
      </c>
      <c r="G663" t="inlineStr">
        <is>
          <t>VÄXJÖ</t>
        </is>
      </c>
      <c r="I663" t="n">
        <v>2.4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49263-2023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45210</v>
      </c>
      <c r="E664" s="1" t="n">
        <v>46314</v>
      </c>
      <c r="F664" t="inlineStr">
        <is>
          <t>KRONOBERGS LÄN</t>
        </is>
      </c>
      <c r="G664" t="inlineStr">
        <is>
          <t>VÄXJÖ</t>
        </is>
      </c>
      <c r="I664" t="n">
        <v>3.1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10093-2026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46073</v>
      </c>
      <c r="E665" s="1" t="n">
        <v>46314</v>
      </c>
      <c r="F665" t="inlineStr">
        <is>
          <t>KRONOBERGS LÄN</t>
        </is>
      </c>
      <c r="G665" t="inlineStr">
        <is>
          <t>VÄXJÖ</t>
        </is>
      </c>
      <c r="I665" t="n">
        <v>0.6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9710-2026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46072</v>
      </c>
      <c r="E666" s="1" t="n">
        <v>46314</v>
      </c>
      <c r="F666" t="inlineStr">
        <is>
          <t>KRONOBERGS LÄN</t>
        </is>
      </c>
      <c r="G666" t="inlineStr">
        <is>
          <t>VÄXJÖ</t>
        </is>
      </c>
      <c r="I666" t="n">
        <v>3.6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35896-2024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45533</v>
      </c>
      <c r="E667" s="1" t="n">
        <v>46314</v>
      </c>
      <c r="F667" t="inlineStr">
        <is>
          <t>KRONOBERGS LÄN</t>
        </is>
      </c>
      <c r="G667" t="inlineStr">
        <is>
          <t>VÄXJÖ</t>
        </is>
      </c>
      <c r="I667" t="n">
        <v>1.9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11079-2023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44986</v>
      </c>
      <c r="E668" s="1" t="n">
        <v>46314</v>
      </c>
      <c r="F668" t="inlineStr">
        <is>
          <t>KRONOBERGS LÄN</t>
        </is>
      </c>
      <c r="G668" t="inlineStr">
        <is>
          <t>VÄXJÖ</t>
        </is>
      </c>
      <c r="I668" t="n">
        <v>7.3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27165-2022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44741</v>
      </c>
      <c r="E669" s="1" t="n">
        <v>46314</v>
      </c>
      <c r="F669" t="inlineStr">
        <is>
          <t>KRONOBERGS LÄN</t>
        </is>
      </c>
      <c r="G669" t="inlineStr">
        <is>
          <t>VÄXJÖ</t>
        </is>
      </c>
      <c r="I669" t="n">
        <v>0.8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6384-2024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45338</v>
      </c>
      <c r="E670" s="1" t="n">
        <v>46314</v>
      </c>
      <c r="F670" t="inlineStr">
        <is>
          <t>KRONOBERGS LÄN</t>
        </is>
      </c>
      <c r="G670" t="inlineStr">
        <is>
          <t>VÄXJÖ</t>
        </is>
      </c>
      <c r="I670" t="n">
        <v>2.2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5629-2023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44960</v>
      </c>
      <c r="E671" s="1" t="n">
        <v>46314</v>
      </c>
      <c r="F671" t="inlineStr">
        <is>
          <t>KRONOBERGS LÄN</t>
        </is>
      </c>
      <c r="G671" t="inlineStr">
        <is>
          <t>VÄXJÖ</t>
        </is>
      </c>
      <c r="I671" t="n">
        <v>0.8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45100-2022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44843</v>
      </c>
      <c r="E672" s="1" t="n">
        <v>46314</v>
      </c>
      <c r="F672" t="inlineStr">
        <is>
          <t>KRONOBERGS LÄN</t>
        </is>
      </c>
      <c r="G672" t="inlineStr">
        <is>
          <t>VÄXJÖ</t>
        </is>
      </c>
      <c r="I672" t="n">
        <v>1.3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10122-2026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46075</v>
      </c>
      <c r="E673" s="1" t="n">
        <v>46314</v>
      </c>
      <c r="F673" t="inlineStr">
        <is>
          <t>KRONOBERGS LÄN</t>
        </is>
      </c>
      <c r="G673" t="inlineStr">
        <is>
          <t>VÄXJÖ</t>
        </is>
      </c>
      <c r="I673" t="n">
        <v>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10932-2026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46079</v>
      </c>
      <c r="E674" s="1" t="n">
        <v>46314</v>
      </c>
      <c r="F674" t="inlineStr">
        <is>
          <t>KRONOBERGS LÄN</t>
        </is>
      </c>
      <c r="G674" t="inlineStr">
        <is>
          <t>VÄXJÖ</t>
        </is>
      </c>
      <c r="I674" t="n">
        <v>1.2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10930-2026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46079</v>
      </c>
      <c r="E675" s="1" t="n">
        <v>46314</v>
      </c>
      <c r="F675" t="inlineStr">
        <is>
          <t>KRONOBERGS LÄN</t>
        </is>
      </c>
      <c r="G675" t="inlineStr">
        <is>
          <t>VÄXJÖ</t>
        </is>
      </c>
      <c r="I675" t="n">
        <v>2.3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890-2025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45665</v>
      </c>
      <c r="E676" s="1" t="n">
        <v>46314</v>
      </c>
      <c r="F676" t="inlineStr">
        <is>
          <t>KRONOBERGS LÄN</t>
        </is>
      </c>
      <c r="G676" t="inlineStr">
        <is>
          <t>VÄXJÖ</t>
        </is>
      </c>
      <c r="I676" t="n">
        <v>12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11650-2026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46084</v>
      </c>
      <c r="E677" s="1" t="n">
        <v>46314</v>
      </c>
      <c r="F677" t="inlineStr">
        <is>
          <t>KRONOBERGS LÄN</t>
        </is>
      </c>
      <c r="G677" t="inlineStr">
        <is>
          <t>VÄXJÖ</t>
        </is>
      </c>
      <c r="I677" t="n">
        <v>0.7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11360-2026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46083</v>
      </c>
      <c r="E678" s="1" t="n">
        <v>46314</v>
      </c>
      <c r="F678" t="inlineStr">
        <is>
          <t>KRONOBERGS LÄN</t>
        </is>
      </c>
      <c r="G678" t="inlineStr">
        <is>
          <t>VÄXJÖ</t>
        </is>
      </c>
      <c r="I678" t="n">
        <v>1.9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52519-2022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44874</v>
      </c>
      <c r="E679" s="1" t="n">
        <v>46314</v>
      </c>
      <c r="F679" t="inlineStr">
        <is>
          <t>KRONOBERGS LÄN</t>
        </is>
      </c>
      <c r="G679" t="inlineStr">
        <is>
          <t>VÄXJÖ</t>
        </is>
      </c>
      <c r="I679" t="n">
        <v>4.1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52545-2022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44874</v>
      </c>
      <c r="E680" s="1" t="n">
        <v>46314</v>
      </c>
      <c r="F680" t="inlineStr">
        <is>
          <t>KRONOBERGS LÄN</t>
        </is>
      </c>
      <c r="G680" t="inlineStr">
        <is>
          <t>VÄXJÖ</t>
        </is>
      </c>
      <c r="I680" t="n">
        <v>0.5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11438-2026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46083</v>
      </c>
      <c r="E681" s="1" t="n">
        <v>46314</v>
      </c>
      <c r="F681" t="inlineStr">
        <is>
          <t>KRONOBERGS LÄN</t>
        </is>
      </c>
      <c r="G681" t="inlineStr">
        <is>
          <t>VÄXJÖ</t>
        </is>
      </c>
      <c r="I681" t="n">
        <v>0.8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11422-2026</t>
        </is>
      </c>
      <c r="B682" t="inlineStr">
        <is>
          <t>avverkningsanmälan</t>
        </is>
      </c>
      <c r="C682" t="inlineStr">
        <is>
          <t>Avverkning för att bevara och utveckla /försöksver</t>
        </is>
      </c>
      <c r="D682" s="1" t="n">
        <v>46083</v>
      </c>
      <c r="E682" s="1" t="n">
        <v>46314</v>
      </c>
      <c r="F682" t="inlineStr">
        <is>
          <t>KRONOBERGS LÄN</t>
        </is>
      </c>
      <c r="G682" t="inlineStr">
        <is>
          <t>VÄXJÖ</t>
        </is>
      </c>
      <c r="I682" t="n">
        <v>4.5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11492-2026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46083</v>
      </c>
      <c r="E683" s="1" t="n">
        <v>46314</v>
      </c>
      <c r="F683" t="inlineStr">
        <is>
          <t>KRONOBERGS LÄN</t>
        </is>
      </c>
      <c r="G683" t="inlineStr">
        <is>
          <t>VÄXJÖ</t>
        </is>
      </c>
      <c r="I683" t="n">
        <v>0.7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11456-2026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46083</v>
      </c>
      <c r="E684" s="1" t="n">
        <v>46314</v>
      </c>
      <c r="F684" t="inlineStr">
        <is>
          <t>KRONOBERGS LÄN</t>
        </is>
      </c>
      <c r="G684" t="inlineStr">
        <is>
          <t>VÄXJÖ</t>
        </is>
      </c>
      <c r="I684" t="n">
        <v>2.4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5762-2023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44963</v>
      </c>
      <c r="E685" s="1" t="n">
        <v>46314</v>
      </c>
      <c r="F685" t="inlineStr">
        <is>
          <t>KRONOBERGS LÄN</t>
        </is>
      </c>
      <c r="G685" t="inlineStr">
        <is>
          <t>VÄXJÖ</t>
        </is>
      </c>
      <c r="I685" t="n">
        <v>2.1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6183-2022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44600</v>
      </c>
      <c r="E686" s="1" t="n">
        <v>46314</v>
      </c>
      <c r="F686" t="inlineStr">
        <is>
          <t>KRONOBERGS LÄN</t>
        </is>
      </c>
      <c r="G686" t="inlineStr">
        <is>
          <t>VÄXJÖ</t>
        </is>
      </c>
      <c r="H686" t="inlineStr">
        <is>
          <t>Kyrkan</t>
        </is>
      </c>
      <c r="I686" t="n">
        <v>2.2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27378-2026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46189</v>
      </c>
      <c r="E687" s="1" t="n">
        <v>46314</v>
      </c>
      <c r="F687" t="inlineStr">
        <is>
          <t>KRONOBERGS LÄN</t>
        </is>
      </c>
      <c r="G687" t="inlineStr">
        <is>
          <t>VÄXJÖ</t>
        </is>
      </c>
      <c r="I687" t="n">
        <v>4.5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17055-2024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45412</v>
      </c>
      <c r="E688" s="1" t="n">
        <v>46314</v>
      </c>
      <c r="F688" t="inlineStr">
        <is>
          <t>KRONOBERGS LÄN</t>
        </is>
      </c>
      <c r="G688" t="inlineStr">
        <is>
          <t>VÄXJÖ</t>
        </is>
      </c>
      <c r="I688" t="n">
        <v>0.6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17060-2024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45412</v>
      </c>
      <c r="E689" s="1" t="n">
        <v>46314</v>
      </c>
      <c r="F689" t="inlineStr">
        <is>
          <t>KRONOBERGS LÄN</t>
        </is>
      </c>
      <c r="G689" t="inlineStr">
        <is>
          <t>VÄXJÖ</t>
        </is>
      </c>
      <c r="I689" t="n">
        <v>1.6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27582-2026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46190</v>
      </c>
      <c r="E690" s="1" t="n">
        <v>46314</v>
      </c>
      <c r="F690" t="inlineStr">
        <is>
          <t>KRONOBERGS LÄN</t>
        </is>
      </c>
      <c r="G690" t="inlineStr">
        <is>
          <t>VÄXJÖ</t>
        </is>
      </c>
      <c r="I690" t="n">
        <v>7.4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12253-2026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46087</v>
      </c>
      <c r="E691" s="1" t="n">
        <v>46314</v>
      </c>
      <c r="F691" t="inlineStr">
        <is>
          <t>KRONOBERGS LÄN</t>
        </is>
      </c>
      <c r="G691" t="inlineStr">
        <is>
          <t>VÄXJÖ</t>
        </is>
      </c>
      <c r="I691" t="n">
        <v>1.7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17470-2025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45757</v>
      </c>
      <c r="E692" s="1" t="n">
        <v>46314</v>
      </c>
      <c r="F692" t="inlineStr">
        <is>
          <t>KRONOBERGS LÄN</t>
        </is>
      </c>
      <c r="G692" t="inlineStr">
        <is>
          <t>VÄXJÖ</t>
        </is>
      </c>
      <c r="I692" t="n">
        <v>1.8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3058-2024</t>
        </is>
      </c>
      <c r="B693" t="inlineStr">
        <is>
          <t>avverkningsanmälan</t>
        </is>
      </c>
      <c r="C693" t="inlineStr">
        <is>
          <t>Avverkning för annat ändamål</t>
        </is>
      </c>
      <c r="D693" s="1" t="n">
        <v>45316</v>
      </c>
      <c r="E693" s="1" t="n">
        <v>46314</v>
      </c>
      <c r="F693" t="inlineStr">
        <is>
          <t>KRONOBERGS LÄN</t>
        </is>
      </c>
      <c r="G693" t="inlineStr">
        <is>
          <t>VÄXJÖ</t>
        </is>
      </c>
      <c r="I693" t="n">
        <v>1.7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3067-2024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45316</v>
      </c>
      <c r="E694" s="1" t="n">
        <v>46314</v>
      </c>
      <c r="F694" t="inlineStr">
        <is>
          <t>KRONOBERGS LÄN</t>
        </is>
      </c>
      <c r="G694" t="inlineStr">
        <is>
          <t>VÄXJÖ</t>
        </is>
      </c>
      <c r="I694" t="n">
        <v>0.5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27755-2026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46191</v>
      </c>
      <c r="E695" s="1" t="n">
        <v>46314</v>
      </c>
      <c r="F695" t="inlineStr">
        <is>
          <t>KRONOBERGS LÄN</t>
        </is>
      </c>
      <c r="G695" t="inlineStr">
        <is>
          <t>VÄXJÖ</t>
        </is>
      </c>
      <c r="I695" t="n">
        <v>0.3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39478-2024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45551</v>
      </c>
      <c r="E696" s="1" t="n">
        <v>46314</v>
      </c>
      <c r="F696" t="inlineStr">
        <is>
          <t>KRONOBERGS LÄN</t>
        </is>
      </c>
      <c r="G696" t="inlineStr">
        <is>
          <t>VÄXJÖ</t>
        </is>
      </c>
      <c r="I696" t="n">
        <v>1.9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46169-2025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45924</v>
      </c>
      <c r="E697" s="1" t="n">
        <v>46314</v>
      </c>
      <c r="F697" t="inlineStr">
        <is>
          <t>KRONOBERGS LÄN</t>
        </is>
      </c>
      <c r="G697" t="inlineStr">
        <is>
          <t>VÄXJÖ</t>
        </is>
      </c>
      <c r="I697" t="n">
        <v>2.6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16011-2026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46108</v>
      </c>
      <c r="E698" s="1" t="n">
        <v>46314</v>
      </c>
      <c r="F698" t="inlineStr">
        <is>
          <t>KRONOBERGS LÄN</t>
        </is>
      </c>
      <c r="G698" t="inlineStr">
        <is>
          <t>VÄXJÖ</t>
        </is>
      </c>
      <c r="I698" t="n">
        <v>0.8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57374-2022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44896</v>
      </c>
      <c r="E699" s="1" t="n">
        <v>46314</v>
      </c>
      <c r="F699" t="inlineStr">
        <is>
          <t>KRONOBERGS LÄN</t>
        </is>
      </c>
      <c r="G699" t="inlineStr">
        <is>
          <t>VÄXJÖ</t>
        </is>
      </c>
      <c r="I699" t="n">
        <v>0.2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50465-2024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45601</v>
      </c>
      <c r="E700" s="1" t="n">
        <v>46314</v>
      </c>
      <c r="F700" t="inlineStr">
        <is>
          <t>KRONOBERGS LÄN</t>
        </is>
      </c>
      <c r="G700" t="inlineStr">
        <is>
          <t>VÄXJÖ</t>
        </is>
      </c>
      <c r="I700" t="n">
        <v>1.5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27750-2026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46191</v>
      </c>
      <c r="E701" s="1" t="n">
        <v>46314</v>
      </c>
      <c r="F701" t="inlineStr">
        <is>
          <t>KRONOBERGS LÄN</t>
        </is>
      </c>
      <c r="G701" t="inlineStr">
        <is>
          <t>VÄXJÖ</t>
        </is>
      </c>
      <c r="I701" t="n">
        <v>1.5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3357-2025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45679</v>
      </c>
      <c r="E702" s="1" t="n">
        <v>46314</v>
      </c>
      <c r="F702" t="inlineStr">
        <is>
          <t>KRONOBERGS LÄN</t>
        </is>
      </c>
      <c r="G702" t="inlineStr">
        <is>
          <t>VÄXJÖ</t>
        </is>
      </c>
      <c r="I702" t="n">
        <v>0.6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3070-2024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45316</v>
      </c>
      <c r="E703" s="1" t="n">
        <v>46314</v>
      </c>
      <c r="F703" t="inlineStr">
        <is>
          <t>KRONOBERGS LÄN</t>
        </is>
      </c>
      <c r="G703" t="inlineStr">
        <is>
          <t>VÄXJÖ</t>
        </is>
      </c>
      <c r="I703" t="n">
        <v>0.6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14377-2026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46100</v>
      </c>
      <c r="E704" s="1" t="n">
        <v>46314</v>
      </c>
      <c r="F704" t="inlineStr">
        <is>
          <t>KRONOBERGS LÄN</t>
        </is>
      </c>
      <c r="G704" t="inlineStr">
        <is>
          <t>VÄXJÖ</t>
        </is>
      </c>
      <c r="I704" t="n">
        <v>1.3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14139-2026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46099</v>
      </c>
      <c r="E705" s="1" t="n">
        <v>46314</v>
      </c>
      <c r="F705" t="inlineStr">
        <is>
          <t>KRONOBERGS LÄN</t>
        </is>
      </c>
      <c r="G705" t="inlineStr">
        <is>
          <t>VÄXJÖ</t>
        </is>
      </c>
      <c r="I705" t="n">
        <v>1.3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14510-2026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46100</v>
      </c>
      <c r="E706" s="1" t="n">
        <v>46314</v>
      </c>
      <c r="F706" t="inlineStr">
        <is>
          <t>KRONOBERGS LÄN</t>
        </is>
      </c>
      <c r="G706" t="inlineStr">
        <is>
          <t>VÄXJÖ</t>
        </is>
      </c>
      <c r="I706" t="n">
        <v>0.4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14349-2026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46100</v>
      </c>
      <c r="E707" s="1" t="n">
        <v>46314</v>
      </c>
      <c r="F707" t="inlineStr">
        <is>
          <t>KRONOBERGS LÄN</t>
        </is>
      </c>
      <c r="G707" t="inlineStr">
        <is>
          <t>VÄXJÖ</t>
        </is>
      </c>
      <c r="I707" t="n">
        <v>0.5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34549-2023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45140</v>
      </c>
      <c r="E708" s="1" t="n">
        <v>46314</v>
      </c>
      <c r="F708" t="inlineStr">
        <is>
          <t>KRONOBERGS LÄN</t>
        </is>
      </c>
      <c r="G708" t="inlineStr">
        <is>
          <t>VÄXJÖ</t>
        </is>
      </c>
      <c r="I708" t="n">
        <v>1.6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22436-2024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45446</v>
      </c>
      <c r="E709" s="1" t="n">
        <v>46314</v>
      </c>
      <c r="F709" t="inlineStr">
        <is>
          <t>KRONOBERGS LÄN</t>
        </is>
      </c>
      <c r="G709" t="inlineStr">
        <is>
          <t>VÄXJÖ</t>
        </is>
      </c>
      <c r="H709" t="inlineStr">
        <is>
          <t>Övriga Aktiebolag</t>
        </is>
      </c>
      <c r="I709" t="n">
        <v>0.5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13973-2024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45392</v>
      </c>
      <c r="E710" s="1" t="n">
        <v>46314</v>
      </c>
      <c r="F710" t="inlineStr">
        <is>
          <t>KRONOBERGS LÄN</t>
        </is>
      </c>
      <c r="G710" t="inlineStr">
        <is>
          <t>VÄXJÖ</t>
        </is>
      </c>
      <c r="H710" t="inlineStr">
        <is>
          <t>Sveaskog</t>
        </is>
      </c>
      <c r="I710" t="n">
        <v>0.9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39260-2023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45166</v>
      </c>
      <c r="E711" s="1" t="n">
        <v>46314</v>
      </c>
      <c r="F711" t="inlineStr">
        <is>
          <t>KRONOBERGS LÄN</t>
        </is>
      </c>
      <c r="G711" t="inlineStr">
        <is>
          <t>VÄXJÖ</t>
        </is>
      </c>
      <c r="I711" t="n">
        <v>2.5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7304-2024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45345</v>
      </c>
      <c r="E712" s="1" t="n">
        <v>46314</v>
      </c>
      <c r="F712" t="inlineStr">
        <is>
          <t>KRONOBERGS LÄN</t>
        </is>
      </c>
      <c r="G712" t="inlineStr">
        <is>
          <t>VÄXJÖ</t>
        </is>
      </c>
      <c r="I712" t="n">
        <v>0.5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61359-2022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44915</v>
      </c>
      <c r="E713" s="1" t="n">
        <v>46314</v>
      </c>
      <c r="F713" t="inlineStr">
        <is>
          <t>KRONOBERGS LÄN</t>
        </is>
      </c>
      <c r="G713" t="inlineStr">
        <is>
          <t>VÄXJÖ</t>
        </is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7677-2023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44972</v>
      </c>
      <c r="E714" s="1" t="n">
        <v>46314</v>
      </c>
      <c r="F714" t="inlineStr">
        <is>
          <t>KRONOBERGS LÄN</t>
        </is>
      </c>
      <c r="G714" t="inlineStr">
        <is>
          <t>VÄXJÖ</t>
        </is>
      </c>
      <c r="I714" t="n">
        <v>1.8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12211-2023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44998</v>
      </c>
      <c r="E715" s="1" t="n">
        <v>46314</v>
      </c>
      <c r="F715" t="inlineStr">
        <is>
          <t>KRONOBERGS LÄN</t>
        </is>
      </c>
      <c r="G715" t="inlineStr">
        <is>
          <t>VÄXJÖ</t>
        </is>
      </c>
      <c r="I715" t="n">
        <v>0.5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28754-2026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46198</v>
      </c>
      <c r="E716" s="1" t="n">
        <v>46314</v>
      </c>
      <c r="F716" t="inlineStr">
        <is>
          <t>KRONOBERGS LÄN</t>
        </is>
      </c>
      <c r="G716" t="inlineStr">
        <is>
          <t>VÄXJÖ</t>
        </is>
      </c>
      <c r="I716" t="n">
        <v>2.9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26121-2024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45468</v>
      </c>
      <c r="E717" s="1" t="n">
        <v>46314</v>
      </c>
      <c r="F717" t="inlineStr">
        <is>
          <t>KRONOBERGS LÄN</t>
        </is>
      </c>
      <c r="G717" t="inlineStr">
        <is>
          <t>VÄXJÖ</t>
        </is>
      </c>
      <c r="I717" t="n">
        <v>1.7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28761-2026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46198</v>
      </c>
      <c r="E718" s="1" t="n">
        <v>46314</v>
      </c>
      <c r="F718" t="inlineStr">
        <is>
          <t>KRONOBERGS LÄN</t>
        </is>
      </c>
      <c r="G718" t="inlineStr">
        <is>
          <t>VÄXJÖ</t>
        </is>
      </c>
      <c r="I718" t="n">
        <v>0.9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15880-2026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46107</v>
      </c>
      <c r="E719" s="1" t="n">
        <v>46314</v>
      </c>
      <c r="F719" t="inlineStr">
        <is>
          <t>KRONOBERGS LÄN</t>
        </is>
      </c>
      <c r="G719" t="inlineStr">
        <is>
          <t>VÄXJÖ</t>
        </is>
      </c>
      <c r="I719" t="n">
        <v>7.8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28778-2026</t>
        </is>
      </c>
      <c r="B720" t="inlineStr">
        <is>
          <t>avverkningsanmälan</t>
        </is>
      </c>
      <c r="C720" t="inlineStr">
        <is>
          <t>Avverkning för annat ändamål</t>
        </is>
      </c>
      <c r="D720" s="1" t="n">
        <v>46198</v>
      </c>
      <c r="E720" s="1" t="n">
        <v>46314</v>
      </c>
      <c r="F720" t="inlineStr">
        <is>
          <t>KRONOBERGS LÄN</t>
        </is>
      </c>
      <c r="G720" t="inlineStr">
        <is>
          <t>VÄXJÖ</t>
        </is>
      </c>
      <c r="I720" t="n">
        <v>1.5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16055-2026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46108</v>
      </c>
      <c r="E721" s="1" t="n">
        <v>46314</v>
      </c>
      <c r="F721" t="inlineStr">
        <is>
          <t>KRONOBERGS LÄN</t>
        </is>
      </c>
      <c r="G721" t="inlineStr">
        <is>
          <t>VÄXJÖ</t>
        </is>
      </c>
      <c r="I721" t="n">
        <v>0.5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53687-2022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44880</v>
      </c>
      <c r="E722" s="1" t="n">
        <v>46314</v>
      </c>
      <c r="F722" t="inlineStr">
        <is>
          <t>KRONOBERGS LÄN</t>
        </is>
      </c>
      <c r="G722" t="inlineStr">
        <is>
          <t>VÄXJÖ</t>
        </is>
      </c>
      <c r="I722" t="n">
        <v>4.4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16591-2026</t>
        </is>
      </c>
      <c r="B723" t="inlineStr">
        <is>
          <t>avverkningsanmälan</t>
        </is>
      </c>
      <c r="C723" t="inlineStr">
        <is>
          <t>Föryngringsavverkning</t>
        </is>
      </c>
      <c r="D723" s="1" t="n">
        <v>46112</v>
      </c>
      <c r="E723" s="1" t="n">
        <v>46314</v>
      </c>
      <c r="F723" t="inlineStr">
        <is>
          <t>KRONOBERGS LÄN</t>
        </is>
      </c>
      <c r="G723" t="inlineStr">
        <is>
          <t>VÄXJÖ</t>
        </is>
      </c>
      <c r="I723" t="n">
        <v>1.5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31091-2022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44769</v>
      </c>
      <c r="E724" s="1" t="n">
        <v>46314</v>
      </c>
      <c r="F724" t="inlineStr">
        <is>
          <t>KRONOBERGS LÄN</t>
        </is>
      </c>
      <c r="G724" t="inlineStr">
        <is>
          <t>VÄXJÖ</t>
        </is>
      </c>
      <c r="H724" t="inlineStr">
        <is>
          <t>Sveaskog</t>
        </is>
      </c>
      <c r="I724" t="n">
        <v>3.1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2657-2025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45676</v>
      </c>
      <c r="E725" s="1" t="n">
        <v>46314</v>
      </c>
      <c r="F725" t="inlineStr">
        <is>
          <t>KRONOBERGS LÄN</t>
        </is>
      </c>
      <c r="G725" t="inlineStr">
        <is>
          <t>VÄXJÖ</t>
        </is>
      </c>
      <c r="H725" t="inlineStr">
        <is>
          <t>Sveaskog</t>
        </is>
      </c>
      <c r="I725" t="n">
        <v>1.7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31090-2022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44769</v>
      </c>
      <c r="E726" s="1" t="n">
        <v>46314</v>
      </c>
      <c r="F726" t="inlineStr">
        <is>
          <t>KRONOBERGS LÄN</t>
        </is>
      </c>
      <c r="G726" t="inlineStr">
        <is>
          <t>VÄXJÖ</t>
        </is>
      </c>
      <c r="H726" t="inlineStr">
        <is>
          <t>Sveaskog</t>
        </is>
      </c>
      <c r="I726" t="n">
        <v>4.5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16491-2026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46112</v>
      </c>
      <c r="E727" s="1" t="n">
        <v>46314</v>
      </c>
      <c r="F727" t="inlineStr">
        <is>
          <t>KRONOBERGS LÄN</t>
        </is>
      </c>
      <c r="G727" t="inlineStr">
        <is>
          <t>VÄXJÖ</t>
        </is>
      </c>
      <c r="I727" t="n">
        <v>1.2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28758-2026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46198</v>
      </c>
      <c r="E728" s="1" t="n">
        <v>46314</v>
      </c>
      <c r="F728" t="inlineStr">
        <is>
          <t>KRONOBERGS LÄN</t>
        </is>
      </c>
      <c r="G728" t="inlineStr">
        <is>
          <t>VÄXJÖ</t>
        </is>
      </c>
      <c r="I728" t="n">
        <v>1.4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33187-2023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45127</v>
      </c>
      <c r="E729" s="1" t="n">
        <v>46314</v>
      </c>
      <c r="F729" t="inlineStr">
        <is>
          <t>KRONOBERGS LÄN</t>
        </is>
      </c>
      <c r="G729" t="inlineStr">
        <is>
          <t>VÄXJÖ</t>
        </is>
      </c>
      <c r="I729" t="n">
        <v>0.5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65087-2023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45288</v>
      </c>
      <c r="E730" s="1" t="n">
        <v>46314</v>
      </c>
      <c r="F730" t="inlineStr">
        <is>
          <t>KRONOBERGS LÄN</t>
        </is>
      </c>
      <c r="G730" t="inlineStr">
        <is>
          <t>VÄXJÖ</t>
        </is>
      </c>
      <c r="I730" t="n">
        <v>0.9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15935-2023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45022</v>
      </c>
      <c r="E731" s="1" t="n">
        <v>46314</v>
      </c>
      <c r="F731" t="inlineStr">
        <is>
          <t>KRONOBERGS LÄN</t>
        </is>
      </c>
      <c r="G731" t="inlineStr">
        <is>
          <t>VÄXJÖ</t>
        </is>
      </c>
      <c r="I731" t="n">
        <v>12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51472-2022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44869</v>
      </c>
      <c r="E732" s="1" t="n">
        <v>46314</v>
      </c>
      <c r="F732" t="inlineStr">
        <is>
          <t>KRONOBERGS LÄN</t>
        </is>
      </c>
      <c r="G732" t="inlineStr">
        <is>
          <t>VÄXJÖ</t>
        </is>
      </c>
      <c r="I732" t="n">
        <v>0.7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16765-2026</t>
        </is>
      </c>
      <c r="B733" t="inlineStr">
        <is>
          <t>avverkningsanmälan</t>
        </is>
      </c>
      <c r="C733" t="inlineStr">
        <is>
          <t>Avverkning för annat ändamål</t>
        </is>
      </c>
      <c r="D733" s="1" t="n">
        <v>46113</v>
      </c>
      <c r="E733" s="1" t="n">
        <v>46314</v>
      </c>
      <c r="F733" t="inlineStr">
        <is>
          <t>KRONOBERGS LÄN</t>
        </is>
      </c>
      <c r="G733" t="inlineStr">
        <is>
          <t>VÄXJÖ</t>
        </is>
      </c>
      <c r="I733" t="n">
        <v>0.8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49087-2024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45594</v>
      </c>
      <c r="E734" s="1" t="n">
        <v>46314</v>
      </c>
      <c r="F734" t="inlineStr">
        <is>
          <t>KRONOBERGS LÄN</t>
        </is>
      </c>
      <c r="G734" t="inlineStr">
        <is>
          <t>VÄXJÖ</t>
        </is>
      </c>
      <c r="H734" t="inlineStr">
        <is>
          <t>Sveaskog</t>
        </is>
      </c>
      <c r="I734" t="n">
        <v>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49018-2024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45594</v>
      </c>
      <c r="E735" s="1" t="n">
        <v>46314</v>
      </c>
      <c r="F735" t="inlineStr">
        <is>
          <t>KRONOBERGS LÄN</t>
        </is>
      </c>
      <c r="G735" t="inlineStr">
        <is>
          <t>VÄXJÖ</t>
        </is>
      </c>
      <c r="H735" t="inlineStr">
        <is>
          <t>Sveaskog</t>
        </is>
      </c>
      <c r="I735" t="n">
        <v>0.9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17397-2026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46119</v>
      </c>
      <c r="E736" s="1" t="n">
        <v>46314</v>
      </c>
      <c r="F736" t="inlineStr">
        <is>
          <t>KRONOBERGS LÄN</t>
        </is>
      </c>
      <c r="G736" t="inlineStr">
        <is>
          <t>VÄXJÖ</t>
        </is>
      </c>
      <c r="I736" t="n">
        <v>1.7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12115-2023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44998</v>
      </c>
      <c r="E737" s="1" t="n">
        <v>46314</v>
      </c>
      <c r="F737" t="inlineStr">
        <is>
          <t>KRONOBERGS LÄN</t>
        </is>
      </c>
      <c r="G737" t="inlineStr">
        <is>
          <t>VÄXJÖ</t>
        </is>
      </c>
      <c r="I737" t="n">
        <v>1.2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50643-2023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45217</v>
      </c>
      <c r="E738" s="1" t="n">
        <v>46314</v>
      </c>
      <c r="F738" t="inlineStr">
        <is>
          <t>KRONOBERGS LÄN</t>
        </is>
      </c>
      <c r="G738" t="inlineStr">
        <is>
          <t>VÄXJÖ</t>
        </is>
      </c>
      <c r="I738" t="n">
        <v>5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28914-2026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46199</v>
      </c>
      <c r="E739" s="1" t="n">
        <v>46314</v>
      </c>
      <c r="F739" t="inlineStr">
        <is>
          <t>KRONOBERGS LÄN</t>
        </is>
      </c>
      <c r="G739" t="inlineStr">
        <is>
          <t>VÄXJÖ</t>
        </is>
      </c>
      <c r="I739" t="n">
        <v>0.6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24905-2023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45085</v>
      </c>
      <c r="E740" s="1" t="n">
        <v>46314</v>
      </c>
      <c r="F740" t="inlineStr">
        <is>
          <t>KRONOBERGS LÄN</t>
        </is>
      </c>
      <c r="G740" t="inlineStr">
        <is>
          <t>VÄXJÖ</t>
        </is>
      </c>
      <c r="I740" t="n">
        <v>1.2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8037-2022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44609</v>
      </c>
      <c r="E741" s="1" t="n">
        <v>46314</v>
      </c>
      <c r="F741" t="inlineStr">
        <is>
          <t>KRONOBERGS LÄN</t>
        </is>
      </c>
      <c r="G741" t="inlineStr">
        <is>
          <t>VÄXJÖ</t>
        </is>
      </c>
      <c r="I741" t="n">
        <v>0.8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29000-2026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46199</v>
      </c>
      <c r="E742" s="1" t="n">
        <v>46314</v>
      </c>
      <c r="F742" t="inlineStr">
        <is>
          <t>KRONOBERGS LÄN</t>
        </is>
      </c>
      <c r="G742" t="inlineStr">
        <is>
          <t>VÄXJÖ</t>
        </is>
      </c>
      <c r="I742" t="n">
        <v>0.5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10929-2025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45722</v>
      </c>
      <c r="E743" s="1" t="n">
        <v>46314</v>
      </c>
      <c r="F743" t="inlineStr">
        <is>
          <t>KRONOBERGS LÄN</t>
        </is>
      </c>
      <c r="G743" t="inlineStr">
        <is>
          <t>VÄXJÖ</t>
        </is>
      </c>
      <c r="I743" t="n">
        <v>1.4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41482-2024</t>
        </is>
      </c>
      <c r="B744" t="inlineStr">
        <is>
          <t>avverkningsanmälan</t>
        </is>
      </c>
      <c r="C744" t="inlineStr">
        <is>
          <t>Föryngringsavverkning</t>
        </is>
      </c>
      <c r="D744" s="1" t="n">
        <v>45560</v>
      </c>
      <c r="E744" s="1" t="n">
        <v>46314</v>
      </c>
      <c r="F744" t="inlineStr">
        <is>
          <t>KRONOBERGS LÄN</t>
        </is>
      </c>
      <c r="G744" t="inlineStr">
        <is>
          <t>VÄXJÖ</t>
        </is>
      </c>
      <c r="I744" t="n">
        <v>0.5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18939-2026</t>
        </is>
      </c>
      <c r="B745" t="inlineStr">
        <is>
          <t>avverkningsanmälan</t>
        </is>
      </c>
      <c r="C745" t="inlineStr">
        <is>
          <t>Avverkning för att bevara och utveckla /försöksver</t>
        </is>
      </c>
      <c r="D745" s="1" t="n">
        <v>46129</v>
      </c>
      <c r="E745" s="1" t="n">
        <v>46314</v>
      </c>
      <c r="F745" t="inlineStr">
        <is>
          <t>KRONOBERGS LÄN</t>
        </is>
      </c>
      <c r="G745" t="inlineStr">
        <is>
          <t>VÄXJÖ</t>
        </is>
      </c>
      <c r="I745" t="n">
        <v>0.7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42361-2022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44831</v>
      </c>
      <c r="E746" s="1" t="n">
        <v>46314</v>
      </c>
      <c r="F746" t="inlineStr">
        <is>
          <t>KRONOBERGS LÄN</t>
        </is>
      </c>
      <c r="G746" t="inlineStr">
        <is>
          <t>VÄXJÖ</t>
        </is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53188-2024</t>
        </is>
      </c>
      <c r="B747" t="inlineStr">
        <is>
          <t>avverkningsanmälan</t>
        </is>
      </c>
      <c r="C747" t="inlineStr">
        <is>
          <t>Föryngringsavverkning</t>
        </is>
      </c>
      <c r="D747" s="1" t="n">
        <v>45611</v>
      </c>
      <c r="E747" s="1" t="n">
        <v>46314</v>
      </c>
      <c r="F747" t="inlineStr">
        <is>
          <t>KRONOBERGS LÄN</t>
        </is>
      </c>
      <c r="G747" t="inlineStr">
        <is>
          <t>VÄXJÖ</t>
        </is>
      </c>
      <c r="I747" t="n">
        <v>0.7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3238-2025</t>
        </is>
      </c>
      <c r="B748" t="inlineStr">
        <is>
          <t>avverkningsanmälan</t>
        </is>
      </c>
      <c r="C748" t="inlineStr">
        <is>
          <t>Föryngringsavverkning</t>
        </is>
      </c>
      <c r="D748" s="1" t="n">
        <v>45679</v>
      </c>
      <c r="E748" s="1" t="n">
        <v>46314</v>
      </c>
      <c r="F748" t="inlineStr">
        <is>
          <t>KRONOBERGS LÄN</t>
        </is>
      </c>
      <c r="G748" t="inlineStr">
        <is>
          <t>VÄXJÖ</t>
        </is>
      </c>
      <c r="I748" t="n">
        <v>1.1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3278-2025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45679</v>
      </c>
      <c r="E749" s="1" t="n">
        <v>46314</v>
      </c>
      <c r="F749" t="inlineStr">
        <is>
          <t>KRONOBERGS LÄN</t>
        </is>
      </c>
      <c r="G749" t="inlineStr">
        <is>
          <t>VÄXJÖ</t>
        </is>
      </c>
      <c r="I749" t="n">
        <v>0.2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16584-2023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45030</v>
      </c>
      <c r="E750" s="1" t="n">
        <v>46314</v>
      </c>
      <c r="F750" t="inlineStr">
        <is>
          <t>KRONOBERGS LÄN</t>
        </is>
      </c>
      <c r="G750" t="inlineStr">
        <is>
          <t>VÄXJÖ</t>
        </is>
      </c>
      <c r="I750" t="n">
        <v>3.7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37902-2025</t>
        </is>
      </c>
      <c r="B751" t="inlineStr">
        <is>
          <t>avverkningsanmälan</t>
        </is>
      </c>
      <c r="C751" t="inlineStr">
        <is>
          <t>Föryngringsavverkning</t>
        </is>
      </c>
      <c r="D751" s="1" t="n">
        <v>45881</v>
      </c>
      <c r="E751" s="1" t="n">
        <v>46314</v>
      </c>
      <c r="F751" t="inlineStr">
        <is>
          <t>KRONOBERGS LÄN</t>
        </is>
      </c>
      <c r="G751" t="inlineStr">
        <is>
          <t>VÄXJÖ</t>
        </is>
      </c>
      <c r="I751" t="n">
        <v>1.4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780-2024</t>
        </is>
      </c>
      <c r="B752" t="inlineStr">
        <is>
          <t>avverkningsanmälan</t>
        </is>
      </c>
      <c r="C752" t="inlineStr">
        <is>
          <t>Föryngringsavverkning</t>
        </is>
      </c>
      <c r="D752" s="1" t="n">
        <v>45300</v>
      </c>
      <c r="E752" s="1" t="n">
        <v>46314</v>
      </c>
      <c r="F752" t="inlineStr">
        <is>
          <t>KRONOBERGS LÄN</t>
        </is>
      </c>
      <c r="G752" t="inlineStr">
        <is>
          <t>VÄXJÖ</t>
        </is>
      </c>
      <c r="I752" t="n">
        <v>0.5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31343-2022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44774</v>
      </c>
      <c r="E753" s="1" t="n">
        <v>46314</v>
      </c>
      <c r="F753" t="inlineStr">
        <is>
          <t>KRONOBERGS LÄN</t>
        </is>
      </c>
      <c r="G753" t="inlineStr">
        <is>
          <t>VÄXJÖ</t>
        </is>
      </c>
      <c r="I753" t="n">
        <v>3.1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33397-2023</t>
        </is>
      </c>
      <c r="B754" t="inlineStr">
        <is>
          <t>avverkningsanmälan</t>
        </is>
      </c>
      <c r="C754" t="inlineStr">
        <is>
          <t>Föryngringsavverkning</t>
        </is>
      </c>
      <c r="D754" s="1" t="n">
        <v>45128</v>
      </c>
      <c r="E754" s="1" t="n">
        <v>46314</v>
      </c>
      <c r="F754" t="inlineStr">
        <is>
          <t>KRONOBERGS LÄN</t>
        </is>
      </c>
      <c r="G754" t="inlineStr">
        <is>
          <t>VÄXJÖ</t>
        </is>
      </c>
      <c r="I754" t="n">
        <v>0.6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33398-2023</t>
        </is>
      </c>
      <c r="B755" t="inlineStr">
        <is>
          <t>avverkningsanmälan</t>
        </is>
      </c>
      <c r="C755" t="inlineStr">
        <is>
          <t>Föryngringsavverkning</t>
        </is>
      </c>
      <c r="D755" s="1" t="n">
        <v>45128</v>
      </c>
      <c r="E755" s="1" t="n">
        <v>46314</v>
      </c>
      <c r="F755" t="inlineStr">
        <is>
          <t>KRONOBERGS LÄN</t>
        </is>
      </c>
      <c r="G755" t="inlineStr">
        <is>
          <t>VÄXJÖ</t>
        </is>
      </c>
      <c r="I755" t="n">
        <v>1.8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30438-2023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45111</v>
      </c>
      <c r="E756" s="1" t="n">
        <v>46314</v>
      </c>
      <c r="F756" t="inlineStr">
        <is>
          <t>KRONOBERGS LÄN</t>
        </is>
      </c>
      <c r="G756" t="inlineStr">
        <is>
          <t>VÄXJÖ</t>
        </is>
      </c>
      <c r="I756" t="n">
        <v>2.5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29072-2026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46199</v>
      </c>
      <c r="E757" s="1" t="n">
        <v>46314</v>
      </c>
      <c r="F757" t="inlineStr">
        <is>
          <t>KRONOBERGS LÄN</t>
        </is>
      </c>
      <c r="G757" t="inlineStr">
        <is>
          <t>VÄXJÖ</t>
        </is>
      </c>
      <c r="I757" t="n">
        <v>0.9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37694-2024</t>
        </is>
      </c>
      <c r="B758" t="inlineStr">
        <is>
          <t>avverkningsanmälan</t>
        </is>
      </c>
      <c r="C758" t="inlineStr">
        <is>
          <t>Föryngringsavverkning</t>
        </is>
      </c>
      <c r="D758" s="1" t="n">
        <v>45541</v>
      </c>
      <c r="E758" s="1" t="n">
        <v>46314</v>
      </c>
      <c r="F758" t="inlineStr">
        <is>
          <t>KRONOBERGS LÄN</t>
        </is>
      </c>
      <c r="G758" t="inlineStr">
        <is>
          <t>VÄXJÖ</t>
        </is>
      </c>
      <c r="I758" t="n">
        <v>0.6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2890-2025</t>
        </is>
      </c>
      <c r="B759" t="inlineStr">
        <is>
          <t>avverkningsanmälan</t>
        </is>
      </c>
      <c r="C759" t="inlineStr">
        <is>
          <t>Föryngringsavverkning</t>
        </is>
      </c>
      <c r="D759" s="1" t="n">
        <v>45677</v>
      </c>
      <c r="E759" s="1" t="n">
        <v>46314</v>
      </c>
      <c r="F759" t="inlineStr">
        <is>
          <t>KRONOBERGS LÄN</t>
        </is>
      </c>
      <c r="G759" t="inlineStr">
        <is>
          <t>VÄXJÖ</t>
        </is>
      </c>
      <c r="I759" t="n">
        <v>2.3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59368-2024</t>
        </is>
      </c>
      <c r="B760" t="inlineStr">
        <is>
          <t>avverkningsanmälan</t>
        </is>
      </c>
      <c r="C760" t="inlineStr">
        <is>
          <t>Avverkning för annat ändamål</t>
        </is>
      </c>
      <c r="D760" s="1" t="n">
        <v>45638</v>
      </c>
      <c r="E760" s="1" t="n">
        <v>46314</v>
      </c>
      <c r="F760" t="inlineStr">
        <is>
          <t>KRONOBERGS LÄN</t>
        </is>
      </c>
      <c r="G760" t="inlineStr">
        <is>
          <t>VÄXJÖ</t>
        </is>
      </c>
      <c r="I760" t="n">
        <v>0.4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46589-2024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45582</v>
      </c>
      <c r="E761" s="1" t="n">
        <v>46314</v>
      </c>
      <c r="F761" t="inlineStr">
        <is>
          <t>KRONOBERGS LÄN</t>
        </is>
      </c>
      <c r="G761" t="inlineStr">
        <is>
          <t>VÄXJÖ</t>
        </is>
      </c>
      <c r="I761" t="n">
        <v>2.4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29075-2026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46199</v>
      </c>
      <c r="E762" s="1" t="n">
        <v>46314</v>
      </c>
      <c r="F762" t="inlineStr">
        <is>
          <t>KRONOBERGS LÄN</t>
        </is>
      </c>
      <c r="G762" t="inlineStr">
        <is>
          <t>VÄXJÖ</t>
        </is>
      </c>
      <c r="I762" t="n">
        <v>4.7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13326-2024</t>
        </is>
      </c>
      <c r="B763" t="inlineStr">
        <is>
          <t>avverkningsanmälan</t>
        </is>
      </c>
      <c r="C763" t="inlineStr">
        <is>
          <t>Föryngringsavverkning</t>
        </is>
      </c>
      <c r="D763" s="1" t="n">
        <v>45386</v>
      </c>
      <c r="E763" s="1" t="n">
        <v>46314</v>
      </c>
      <c r="F763" t="inlineStr">
        <is>
          <t>KRONOBERGS LÄN</t>
        </is>
      </c>
      <c r="G763" t="inlineStr">
        <is>
          <t>VÄXJÖ</t>
        </is>
      </c>
      <c r="I763" t="n">
        <v>0.9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45689-2025</t>
        </is>
      </c>
      <c r="B764" t="inlineStr">
        <is>
          <t>avverkningsanmälan</t>
        </is>
      </c>
      <c r="C764" t="inlineStr">
        <is>
          <t>Föryngringsavverkning</t>
        </is>
      </c>
      <c r="D764" s="1" t="n">
        <v>45923</v>
      </c>
      <c r="E764" s="1" t="n">
        <v>46314</v>
      </c>
      <c r="F764" t="inlineStr">
        <is>
          <t>KRONOBERGS LÄN</t>
        </is>
      </c>
      <c r="G764" t="inlineStr">
        <is>
          <t>VÄXJÖ</t>
        </is>
      </c>
      <c r="I764" t="n">
        <v>4.6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39122-2023</t>
        </is>
      </c>
      <c r="B765" t="inlineStr">
        <is>
          <t>avverkningsanmälan</t>
        </is>
      </c>
      <c r="C765" t="inlineStr">
        <is>
          <t>Föryngringsavverkning</t>
        </is>
      </c>
      <c r="D765" s="1" t="n">
        <v>45165</v>
      </c>
      <c r="E765" s="1" t="n">
        <v>46314</v>
      </c>
      <c r="F765" t="inlineStr">
        <is>
          <t>KRONOBERGS LÄN</t>
        </is>
      </c>
      <c r="G765" t="inlineStr">
        <is>
          <t>VÄXJÖ</t>
        </is>
      </c>
      <c r="I765" t="n">
        <v>4.9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40525-2024</t>
        </is>
      </c>
      <c r="B766" t="inlineStr">
        <is>
          <t>avverkningsanmälan</t>
        </is>
      </c>
      <c r="C766" t="inlineStr">
        <is>
          <t>Föryngringsavverkning</t>
        </is>
      </c>
      <c r="D766" s="1" t="n">
        <v>45555</v>
      </c>
      <c r="E766" s="1" t="n">
        <v>46314</v>
      </c>
      <c r="F766" t="inlineStr">
        <is>
          <t>KRONOBERGS LÄN</t>
        </is>
      </c>
      <c r="G766" t="inlineStr">
        <is>
          <t>VÄXJÖ</t>
        </is>
      </c>
      <c r="I766" t="n">
        <v>1.3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49578-2025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45939</v>
      </c>
      <c r="E767" s="1" t="n">
        <v>46314</v>
      </c>
      <c r="F767" t="inlineStr">
        <is>
          <t>KRONOBERGS LÄN</t>
        </is>
      </c>
      <c r="G767" t="inlineStr">
        <is>
          <t>VÄXJÖ</t>
        </is>
      </c>
      <c r="I767" t="n">
        <v>0.9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34719-2023</t>
        </is>
      </c>
      <c r="B768" t="inlineStr">
        <is>
          <t>avverkningsanmälan</t>
        </is>
      </c>
      <c r="C768" t="inlineStr">
        <is>
          <t>Föryngringsavverkning</t>
        </is>
      </c>
      <c r="D768" s="1" t="n">
        <v>45141</v>
      </c>
      <c r="E768" s="1" t="n">
        <v>46314</v>
      </c>
      <c r="F768" t="inlineStr">
        <is>
          <t>KRONOBERGS LÄN</t>
        </is>
      </c>
      <c r="G768" t="inlineStr">
        <is>
          <t>VÄXJÖ</t>
        </is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34744-2023</t>
        </is>
      </c>
      <c r="B769" t="inlineStr">
        <is>
          <t>avverkningsanmälan</t>
        </is>
      </c>
      <c r="C769" t="inlineStr">
        <is>
          <t>Föryngringsavverkning</t>
        </is>
      </c>
      <c r="D769" s="1" t="n">
        <v>45141</v>
      </c>
      <c r="E769" s="1" t="n">
        <v>46314</v>
      </c>
      <c r="F769" t="inlineStr">
        <is>
          <t>KRONOBERGS LÄN</t>
        </is>
      </c>
      <c r="G769" t="inlineStr">
        <is>
          <t>VÄXJÖ</t>
        </is>
      </c>
      <c r="I769" t="n">
        <v>2.7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A 30015-2026</t>
        </is>
      </c>
      <c r="B770" t="inlineStr">
        <is>
          <t>avverkningsanmälan</t>
        </is>
      </c>
      <c r="C770" t="inlineStr">
        <is>
          <t>Föryngringsavverkning</t>
        </is>
      </c>
      <c r="D770" s="1" t="n">
        <v>46206</v>
      </c>
      <c r="E770" s="1" t="n">
        <v>46314</v>
      </c>
      <c r="F770" t="inlineStr">
        <is>
          <t>KRONOBERGS LÄN</t>
        </is>
      </c>
      <c r="G770" t="inlineStr">
        <is>
          <t>VÄXJÖ</t>
        </is>
      </c>
      <c r="H770" t="inlineStr">
        <is>
          <t>Sveaskog</t>
        </is>
      </c>
      <c r="I770" t="n">
        <v>0.5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A 60350-2021</t>
        </is>
      </c>
      <c r="B771" t="inlineStr">
        <is>
          <t>avverkningsanmälan</t>
        </is>
      </c>
      <c r="C771" t="inlineStr">
        <is>
          <t>Föryngringsavverkning</t>
        </is>
      </c>
      <c r="D771" s="1" t="n">
        <v>44496</v>
      </c>
      <c r="E771" s="1" t="n">
        <v>46314</v>
      </c>
      <c r="F771" t="inlineStr">
        <is>
          <t>KRONOBERGS LÄN</t>
        </is>
      </c>
      <c r="G771" t="inlineStr">
        <is>
          <t>VÄXJÖ</t>
        </is>
      </c>
      <c r="I771" t="n">
        <v>0.4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A 40069-2025</t>
        </is>
      </c>
      <c r="B772" t="inlineStr">
        <is>
          <t>avverkningsanmälan</t>
        </is>
      </c>
      <c r="C772" t="inlineStr">
        <is>
          <t>Föryngringsavverkning</t>
        </is>
      </c>
      <c r="D772" s="1" t="n">
        <v>45894</v>
      </c>
      <c r="E772" s="1" t="n">
        <v>46314</v>
      </c>
      <c r="F772" t="inlineStr">
        <is>
          <t>KRONOBERGS LÄN</t>
        </is>
      </c>
      <c r="G772" t="inlineStr">
        <is>
          <t>VÄXJÖ</t>
        </is>
      </c>
      <c r="I772" t="n">
        <v>4.5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A 45813-2025</t>
        </is>
      </c>
      <c r="B773" t="inlineStr">
        <is>
          <t>avverkningsanmälan</t>
        </is>
      </c>
      <c r="C773" t="inlineStr">
        <is>
          <t>Föryngringsavverkning</t>
        </is>
      </c>
      <c r="D773" s="1" t="n">
        <v>45923</v>
      </c>
      <c r="E773" s="1" t="n">
        <v>46314</v>
      </c>
      <c r="F773" t="inlineStr">
        <is>
          <t>KRONOBERGS LÄN</t>
        </is>
      </c>
      <c r="G773" t="inlineStr">
        <is>
          <t>VÄXJÖ</t>
        </is>
      </c>
      <c r="I773" t="n">
        <v>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A 45624-2024</t>
        </is>
      </c>
      <c r="B774" t="inlineStr">
        <is>
          <t>avverkningsanmälan</t>
        </is>
      </c>
      <c r="C774" t="inlineStr">
        <is>
          <t>Föryngringsavverkning</t>
        </is>
      </c>
      <c r="D774" s="1" t="n">
        <v>45579</v>
      </c>
      <c r="E774" s="1" t="n">
        <v>46314</v>
      </c>
      <c r="F774" t="inlineStr">
        <is>
          <t>KRONOBERGS LÄN</t>
        </is>
      </c>
      <c r="G774" t="inlineStr">
        <is>
          <t>VÄXJÖ</t>
        </is>
      </c>
      <c r="I774" t="n">
        <v>0.7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A 29966-2026</t>
        </is>
      </c>
      <c r="B775" t="inlineStr">
        <is>
          <t>avverkningsanmälan</t>
        </is>
      </c>
      <c r="C775" t="inlineStr">
        <is>
          <t>Föryngringsavverkning</t>
        </is>
      </c>
      <c r="D775" s="1" t="n">
        <v>46205</v>
      </c>
      <c r="E775" s="1" t="n">
        <v>46314</v>
      </c>
      <c r="F775" t="inlineStr">
        <is>
          <t>KRONOBERGS LÄN</t>
        </is>
      </c>
      <c r="G775" t="inlineStr">
        <is>
          <t>VÄXJÖ</t>
        </is>
      </c>
      <c r="I775" t="n">
        <v>0.9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A 16781-2025</t>
        </is>
      </c>
      <c r="B776" t="inlineStr">
        <is>
          <t>avverkningsanmälan</t>
        </is>
      </c>
      <c r="C776" t="inlineStr">
        <is>
          <t>Föryngringsavverkning</t>
        </is>
      </c>
      <c r="D776" s="1" t="n">
        <v>45754</v>
      </c>
      <c r="E776" s="1" t="n">
        <v>46314</v>
      </c>
      <c r="F776" t="inlineStr">
        <is>
          <t>KRONOBERGS LÄN</t>
        </is>
      </c>
      <c r="G776" t="inlineStr">
        <is>
          <t>VÄXJÖ</t>
        </is>
      </c>
      <c r="I776" t="n">
        <v>0.7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A 29965-2026</t>
        </is>
      </c>
      <c r="B777" t="inlineStr">
        <is>
          <t>avverkningsanmälan</t>
        </is>
      </c>
      <c r="C777" t="inlineStr">
        <is>
          <t>Föryngringsavverkning</t>
        </is>
      </c>
      <c r="D777" s="1" t="n">
        <v>46205</v>
      </c>
      <c r="E777" s="1" t="n">
        <v>46314</v>
      </c>
      <c r="F777" t="inlineStr">
        <is>
          <t>KRONOBERGS LÄN</t>
        </is>
      </c>
      <c r="G777" t="inlineStr">
        <is>
          <t>VÄXJÖ</t>
        </is>
      </c>
      <c r="I777" t="n">
        <v>2.1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A 16751-2025</t>
        </is>
      </c>
      <c r="B778" t="inlineStr">
        <is>
          <t>avverkningsanmälan</t>
        </is>
      </c>
      <c r="C778" t="inlineStr">
        <is>
          <t>Föryngringsavverkning</t>
        </is>
      </c>
      <c r="D778" s="1" t="n">
        <v>45754</v>
      </c>
      <c r="E778" s="1" t="n">
        <v>46314</v>
      </c>
      <c r="F778" t="inlineStr">
        <is>
          <t>KRONOBERGS LÄN</t>
        </is>
      </c>
      <c r="G778" t="inlineStr">
        <is>
          <t>VÄXJÖ</t>
        </is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A 30547-2026</t>
        </is>
      </c>
      <c r="B779" t="inlineStr">
        <is>
          <t>avverkningsanmälan</t>
        </is>
      </c>
      <c r="C779" t="inlineStr">
        <is>
          <t>Föryngringsavverkning</t>
        </is>
      </c>
      <c r="D779" s="1" t="n">
        <v>46210</v>
      </c>
      <c r="E779" s="1" t="n">
        <v>46314</v>
      </c>
      <c r="F779" t="inlineStr">
        <is>
          <t>KRONOBERGS LÄN</t>
        </is>
      </c>
      <c r="G779" t="inlineStr">
        <is>
          <t>VÄXJÖ</t>
        </is>
      </c>
      <c r="H779" t="inlineStr">
        <is>
          <t>Övriga Aktiebolag</t>
        </is>
      </c>
      <c r="I779" t="n">
        <v>2.2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A 14365-2023</t>
        </is>
      </c>
      <c r="B780" t="inlineStr">
        <is>
          <t>avverkningsanmälan</t>
        </is>
      </c>
      <c r="C780" t="inlineStr">
        <is>
          <t>Föryngringsavverkning</t>
        </is>
      </c>
      <c r="D780" s="1" t="n">
        <v>45012</v>
      </c>
      <c r="E780" s="1" t="n">
        <v>46314</v>
      </c>
      <c r="F780" t="inlineStr">
        <is>
          <t>KRONOBERGS LÄN</t>
        </is>
      </c>
      <c r="G780" t="inlineStr">
        <is>
          <t>VÄXJÖ</t>
        </is>
      </c>
      <c r="I780" t="n">
        <v>2.5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A 30557-2026</t>
        </is>
      </c>
      <c r="B781" t="inlineStr">
        <is>
          <t>avverkningsanmälan</t>
        </is>
      </c>
      <c r="C781" t="inlineStr">
        <is>
          <t>Föryngringsavverkning</t>
        </is>
      </c>
      <c r="D781" s="1" t="n">
        <v>46210</v>
      </c>
      <c r="E781" s="1" t="n">
        <v>46314</v>
      </c>
      <c r="F781" t="inlineStr">
        <is>
          <t>KRONOBERGS LÄN</t>
        </is>
      </c>
      <c r="G781" t="inlineStr">
        <is>
          <t>VÄXJÖ</t>
        </is>
      </c>
      <c r="H781" t="inlineStr">
        <is>
          <t>Övriga Aktiebolag</t>
        </is>
      </c>
      <c r="I781" t="n">
        <v>3.5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A 52996-2023</t>
        </is>
      </c>
      <c r="B782" t="inlineStr">
        <is>
          <t>avverkningsanmälan</t>
        </is>
      </c>
      <c r="C782" t="inlineStr">
        <is>
          <t>Föryngringsavverkning</t>
        </is>
      </c>
      <c r="D782" s="1" t="n">
        <v>45222</v>
      </c>
      <c r="E782" s="1" t="n">
        <v>46314</v>
      </c>
      <c r="F782" t="inlineStr">
        <is>
          <t>KRONOBERGS LÄN</t>
        </is>
      </c>
      <c r="G782" t="inlineStr">
        <is>
          <t>VÄXJÖ</t>
        </is>
      </c>
      <c r="I782" t="n">
        <v>1.1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A 33223-2023</t>
        </is>
      </c>
      <c r="B783" t="inlineStr">
        <is>
          <t>avverkningsanmälan</t>
        </is>
      </c>
      <c r="C783" t="inlineStr">
        <is>
          <t>Föryngringsavverkning</t>
        </is>
      </c>
      <c r="D783" s="1" t="n">
        <v>45127</v>
      </c>
      <c r="E783" s="1" t="n">
        <v>46314</v>
      </c>
      <c r="F783" t="inlineStr">
        <is>
          <t>KRONOBERGS LÄN</t>
        </is>
      </c>
      <c r="G783" t="inlineStr">
        <is>
          <t>VÄXJÖ</t>
        </is>
      </c>
      <c r="I783" t="n">
        <v>0.8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A 50906-2022</t>
        </is>
      </c>
      <c r="B784" t="inlineStr">
        <is>
          <t>avverkningsanmälan</t>
        </is>
      </c>
      <c r="C784" t="inlineStr">
        <is>
          <t>Föryngringsavverkning</t>
        </is>
      </c>
      <c r="D784" s="1" t="n">
        <v>44867</v>
      </c>
      <c r="E784" s="1" t="n">
        <v>46314</v>
      </c>
      <c r="F784" t="inlineStr">
        <is>
          <t>KRONOBERGS LÄN</t>
        </is>
      </c>
      <c r="G784" t="inlineStr">
        <is>
          <t>VÄXJÖ</t>
        </is>
      </c>
      <c r="I784" t="n">
        <v>1.3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A 39761-2024</t>
        </is>
      </c>
      <c r="B785" t="inlineStr">
        <is>
          <t>avverkningsanmälan</t>
        </is>
      </c>
      <c r="C785" t="inlineStr">
        <is>
          <t>Föryngringsavverkning</t>
        </is>
      </c>
      <c r="D785" s="1" t="n">
        <v>45552</v>
      </c>
      <c r="E785" s="1" t="n">
        <v>46314</v>
      </c>
      <c r="F785" t="inlineStr">
        <is>
          <t>KRONOBERGS LÄN</t>
        </is>
      </c>
      <c r="G785" t="inlineStr">
        <is>
          <t>VÄXJÖ</t>
        </is>
      </c>
      <c r="I785" t="n">
        <v>1.3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A 58054-2023</t>
        </is>
      </c>
      <c r="B786" t="inlineStr">
        <is>
          <t>avverkningsanmälan</t>
        </is>
      </c>
      <c r="C786" t="inlineStr">
        <is>
          <t>Föryngringsavverkning</t>
        </is>
      </c>
      <c r="D786" s="1" t="n">
        <v>45247</v>
      </c>
      <c r="E786" s="1" t="n">
        <v>46314</v>
      </c>
      <c r="F786" t="inlineStr">
        <is>
          <t>KRONOBERGS LÄN</t>
        </is>
      </c>
      <c r="G786" t="inlineStr">
        <is>
          <t>VÄXJÖ</t>
        </is>
      </c>
      <c r="I786" t="n">
        <v>0.9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A 62245-2022</t>
        </is>
      </c>
      <c r="B787" t="inlineStr">
        <is>
          <t>avverkningsanmälan</t>
        </is>
      </c>
      <c r="C787" t="inlineStr">
        <is>
          <t>Föryngringsavverkning</t>
        </is>
      </c>
      <c r="D787" s="1" t="n">
        <v>44922</v>
      </c>
      <c r="E787" s="1" t="n">
        <v>46314</v>
      </c>
      <c r="F787" t="inlineStr">
        <is>
          <t>KRONOBERGS LÄN</t>
        </is>
      </c>
      <c r="G787" t="inlineStr">
        <is>
          <t>VÄXJÖ</t>
        </is>
      </c>
      <c r="I787" t="n">
        <v>0.7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A 19187-2023</t>
        </is>
      </c>
      <c r="B788" t="inlineStr">
        <is>
          <t>avverkningsanmälan</t>
        </is>
      </c>
      <c r="C788" t="inlineStr">
        <is>
          <t>Avverkning för annat ändamål</t>
        </is>
      </c>
      <c r="D788" s="1" t="n">
        <v>45048</v>
      </c>
      <c r="E788" s="1" t="n">
        <v>46314</v>
      </c>
      <c r="F788" t="inlineStr">
        <is>
          <t>KRONOBERGS LÄN</t>
        </is>
      </c>
      <c r="G788" t="inlineStr">
        <is>
          <t>VÄXJÖ</t>
        </is>
      </c>
      <c r="I788" t="n">
        <v>1.5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A 48228-2023</t>
        </is>
      </c>
      <c r="B789" t="inlineStr">
        <is>
          <t>avverkningsanmälan</t>
        </is>
      </c>
      <c r="C789" t="inlineStr">
        <is>
          <t>Föryngringsavverkning</t>
        </is>
      </c>
      <c r="D789" s="1" t="n">
        <v>45205</v>
      </c>
      <c r="E789" s="1" t="n">
        <v>46314</v>
      </c>
      <c r="F789" t="inlineStr">
        <is>
          <t>KRONOBERGS LÄN</t>
        </is>
      </c>
      <c r="G789" t="inlineStr">
        <is>
          <t>VÄXJÖ</t>
        </is>
      </c>
      <c r="I789" t="n">
        <v>1.1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A 24464-2026</t>
        </is>
      </c>
      <c r="B790" t="inlineStr">
        <is>
          <t>avverkningsanmälan</t>
        </is>
      </c>
      <c r="C790" t="inlineStr">
        <is>
          <t>Föryngringsavverkning</t>
        </is>
      </c>
      <c r="D790" s="1" t="n">
        <v>46170</v>
      </c>
      <c r="E790" s="1" t="n">
        <v>46314</v>
      </c>
      <c r="F790" t="inlineStr">
        <is>
          <t>KRONOBERGS LÄN</t>
        </is>
      </c>
      <c r="G790" t="inlineStr">
        <is>
          <t>VÄXJÖ</t>
        </is>
      </c>
      <c r="I790" t="n">
        <v>1.4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A 61585-2021</t>
        </is>
      </c>
      <c r="B791" t="inlineStr">
        <is>
          <t>avverkningsanmälan</t>
        </is>
      </c>
      <c r="C791" t="inlineStr">
        <is>
          <t>Föryngringsavverkning</t>
        </is>
      </c>
      <c r="D791" s="1" t="n">
        <v>44501</v>
      </c>
      <c r="E791" s="1" t="n">
        <v>46314</v>
      </c>
      <c r="F791" t="inlineStr">
        <is>
          <t>KRONOBERGS LÄN</t>
        </is>
      </c>
      <c r="G791" t="inlineStr">
        <is>
          <t>VÄXJÖ</t>
        </is>
      </c>
      <c r="I791" t="n">
        <v>0.6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A 12015-2023</t>
        </is>
      </c>
      <c r="B792" t="inlineStr">
        <is>
          <t>avverkningsanmälan</t>
        </is>
      </c>
      <c r="C792" t="inlineStr">
        <is>
          <t>Föryngringsavverkning</t>
        </is>
      </c>
      <c r="D792" s="1" t="n">
        <v>44995</v>
      </c>
      <c r="E792" s="1" t="n">
        <v>46314</v>
      </c>
      <c r="F792" t="inlineStr">
        <is>
          <t>KRONOBERGS LÄN</t>
        </is>
      </c>
      <c r="G792" t="inlineStr">
        <is>
          <t>VÄXJÖ</t>
        </is>
      </c>
      <c r="I792" t="n">
        <v>0.7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A 53252-2022</t>
        </is>
      </c>
      <c r="B793" t="inlineStr">
        <is>
          <t>avverkningsanmälan</t>
        </is>
      </c>
      <c r="C793" t="inlineStr">
        <is>
          <t>Föryngringsavverkning</t>
        </is>
      </c>
      <c r="D793" s="1" t="n">
        <v>44876</v>
      </c>
      <c r="E793" s="1" t="n">
        <v>46314</v>
      </c>
      <c r="F793" t="inlineStr">
        <is>
          <t>KRONOBERGS LÄN</t>
        </is>
      </c>
      <c r="G793" t="inlineStr">
        <is>
          <t>VÄXJÖ</t>
        </is>
      </c>
      <c r="H793" t="inlineStr">
        <is>
          <t>Sveaskog</t>
        </is>
      </c>
      <c r="I793" t="n">
        <v>3.6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A 30676-2024</t>
        </is>
      </c>
      <c r="B794" t="inlineStr">
        <is>
          <t>avverkningsanmälan</t>
        </is>
      </c>
      <c r="C794" t="inlineStr">
        <is>
          <t>Föryngringsavverkning</t>
        </is>
      </c>
      <c r="D794" s="1" t="n">
        <v>45495</v>
      </c>
      <c r="E794" s="1" t="n">
        <v>46314</v>
      </c>
      <c r="F794" t="inlineStr">
        <is>
          <t>KRONOBERGS LÄN</t>
        </is>
      </c>
      <c r="G794" t="inlineStr">
        <is>
          <t>VÄXJÖ</t>
        </is>
      </c>
      <c r="I794" t="n">
        <v>0.4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A 5943-2023</t>
        </is>
      </c>
      <c r="B795" t="inlineStr">
        <is>
          <t>avverkningsanmälan</t>
        </is>
      </c>
      <c r="C795" t="inlineStr">
        <is>
          <t>Föryngringsavverkning</t>
        </is>
      </c>
      <c r="D795" s="1" t="n">
        <v>44963</v>
      </c>
      <c r="E795" s="1" t="n">
        <v>46314</v>
      </c>
      <c r="F795" t="inlineStr">
        <is>
          <t>KRONOBERGS LÄN</t>
        </is>
      </c>
      <c r="G795" t="inlineStr">
        <is>
          <t>VÄXJÖ</t>
        </is>
      </c>
      <c r="I795" t="n">
        <v>0.8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A 29477-2023</t>
        </is>
      </c>
      <c r="B796" t="inlineStr">
        <is>
          <t>avverkningsanmälan</t>
        </is>
      </c>
      <c r="C796" t="inlineStr">
        <is>
          <t>Föryngringsavverkning</t>
        </is>
      </c>
      <c r="D796" s="1" t="n">
        <v>45106</v>
      </c>
      <c r="E796" s="1" t="n">
        <v>46314</v>
      </c>
      <c r="F796" t="inlineStr">
        <is>
          <t>KRONOBERGS LÄN</t>
        </is>
      </c>
      <c r="G796" t="inlineStr">
        <is>
          <t>VÄXJÖ</t>
        </is>
      </c>
      <c r="I796" t="n">
        <v>1.4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A 13026-2024</t>
        </is>
      </c>
      <c r="B797" t="inlineStr">
        <is>
          <t>avverkningsanmälan</t>
        </is>
      </c>
      <c r="C797" t="inlineStr">
        <is>
          <t>Föryngringsavverkning</t>
        </is>
      </c>
      <c r="D797" s="1" t="n">
        <v>45385</v>
      </c>
      <c r="E797" s="1" t="n">
        <v>46314</v>
      </c>
      <c r="F797" t="inlineStr">
        <is>
          <t>KRONOBERGS LÄN</t>
        </is>
      </c>
      <c r="G797" t="inlineStr">
        <is>
          <t>VÄXJÖ</t>
        </is>
      </c>
      <c r="H797" t="inlineStr">
        <is>
          <t>Sveaskog</t>
        </is>
      </c>
      <c r="I797" t="n">
        <v>1.4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A 13028-2024</t>
        </is>
      </c>
      <c r="B798" t="inlineStr">
        <is>
          <t>avverkningsanmälan</t>
        </is>
      </c>
      <c r="C798" t="inlineStr">
        <is>
          <t>Föryngringsavverkning</t>
        </is>
      </c>
      <c r="D798" s="1" t="n">
        <v>45385</v>
      </c>
      <c r="E798" s="1" t="n">
        <v>46314</v>
      </c>
      <c r="F798" t="inlineStr">
        <is>
          <t>KRONOBERGS LÄN</t>
        </is>
      </c>
      <c r="G798" t="inlineStr">
        <is>
          <t>VÄXJÖ</t>
        </is>
      </c>
      <c r="H798" t="inlineStr">
        <is>
          <t>Sveaskog</t>
        </is>
      </c>
      <c r="I798" t="n">
        <v>0.6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</row>
    <row r="799" ht="15" customHeight="1">
      <c r="A799" t="inlineStr">
        <is>
          <t>A 58020-2022</t>
        </is>
      </c>
      <c r="B799" t="inlineStr">
        <is>
          <t>avverkningsanmälan</t>
        </is>
      </c>
      <c r="C799" t="inlineStr">
        <is>
          <t>Föryngringsavverkning</t>
        </is>
      </c>
      <c r="D799" s="1" t="n">
        <v>44900</v>
      </c>
      <c r="E799" s="1" t="n">
        <v>46314</v>
      </c>
      <c r="F799" t="inlineStr">
        <is>
          <t>KRONOBERGS LÄN</t>
        </is>
      </c>
      <c r="G799" t="inlineStr">
        <is>
          <t>VÄXJÖ</t>
        </is>
      </c>
      <c r="I799" t="n">
        <v>0.5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 ht="15" customHeight="1">
      <c r="A800" t="inlineStr">
        <is>
          <t>A 46830-2023</t>
        </is>
      </c>
      <c r="B800" t="inlineStr">
        <is>
          <t>avverkningsanmälan</t>
        </is>
      </c>
      <c r="C800" t="inlineStr">
        <is>
          <t>Avverkning för annat ändamål</t>
        </is>
      </c>
      <c r="D800" s="1" t="n">
        <v>45199</v>
      </c>
      <c r="E800" s="1" t="n">
        <v>46314</v>
      </c>
      <c r="F800" t="inlineStr">
        <is>
          <t>KRONOBERGS LÄN</t>
        </is>
      </c>
      <c r="G800" t="inlineStr">
        <is>
          <t>VÄXJÖ</t>
        </is>
      </c>
      <c r="I800" t="n">
        <v>0.8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  <row r="801" ht="15" customHeight="1">
      <c r="A801" t="inlineStr">
        <is>
          <t>A 22242-2023</t>
        </is>
      </c>
      <c r="B801" t="inlineStr">
        <is>
          <t>avverkningsanmälan</t>
        </is>
      </c>
      <c r="C801" t="inlineStr">
        <is>
          <t>Föryngringsavverkning</t>
        </is>
      </c>
      <c r="D801" s="1" t="n">
        <v>45070</v>
      </c>
      <c r="E801" s="1" t="n">
        <v>46314</v>
      </c>
      <c r="F801" t="inlineStr">
        <is>
          <t>KRONOBERGS LÄN</t>
        </is>
      </c>
      <c r="G801" t="inlineStr">
        <is>
          <t>VÄXJÖ</t>
        </is>
      </c>
      <c r="I801" t="n">
        <v>0.8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inlineStr"/>
    </row>
    <row r="802" ht="15" customHeight="1">
      <c r="A802" t="inlineStr">
        <is>
          <t>A 59873-2021</t>
        </is>
      </c>
      <c r="B802" t="inlineStr">
        <is>
          <t>avverkningsanmälan</t>
        </is>
      </c>
      <c r="C802" t="inlineStr">
        <is>
          <t>Föryngringsavverkning</t>
        </is>
      </c>
      <c r="D802" s="1" t="n">
        <v>44494</v>
      </c>
      <c r="E802" s="1" t="n">
        <v>46314</v>
      </c>
      <c r="F802" t="inlineStr">
        <is>
          <t>KRONOBERGS LÄN</t>
        </is>
      </c>
      <c r="G802" t="inlineStr">
        <is>
          <t>VÄXJÖ</t>
        </is>
      </c>
      <c r="I802" t="n">
        <v>1.2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inlineStr"/>
    </row>
    <row r="803" ht="15" customHeight="1">
      <c r="A803" t="inlineStr">
        <is>
          <t>A 16767-2025</t>
        </is>
      </c>
      <c r="B803" t="inlineStr">
        <is>
          <t>avverkningsanmälan</t>
        </is>
      </c>
      <c r="C803" t="inlineStr">
        <is>
          <t>Föryngringsavverkning</t>
        </is>
      </c>
      <c r="D803" s="1" t="n">
        <v>45754</v>
      </c>
      <c r="E803" s="1" t="n">
        <v>46314</v>
      </c>
      <c r="F803" t="inlineStr">
        <is>
          <t>KRONOBERGS LÄN</t>
        </is>
      </c>
      <c r="G803" t="inlineStr">
        <is>
          <t>VÄXJÖ</t>
        </is>
      </c>
      <c r="I803" t="n">
        <v>0.5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inlineStr"/>
    </row>
    <row r="804" ht="15" customHeight="1">
      <c r="A804" t="inlineStr">
        <is>
          <t>A 52167-2023</t>
        </is>
      </c>
      <c r="B804" t="inlineStr">
        <is>
          <t>avverkningsanmälan</t>
        </is>
      </c>
      <c r="C804" t="inlineStr">
        <is>
          <t>Föryngringsavverkning</t>
        </is>
      </c>
      <c r="D804" s="1" t="n">
        <v>45224</v>
      </c>
      <c r="E804" s="1" t="n">
        <v>46314</v>
      </c>
      <c r="F804" t="inlineStr">
        <is>
          <t>KRONOBERGS LÄN</t>
        </is>
      </c>
      <c r="G804" t="inlineStr">
        <is>
          <t>VÄXJÖ</t>
        </is>
      </c>
      <c r="I804" t="n">
        <v>1.8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inlineStr"/>
    </row>
    <row r="805" ht="15" customHeight="1">
      <c r="A805" t="inlineStr">
        <is>
          <t>A 36834-2026</t>
        </is>
      </c>
      <c r="B805" t="inlineStr">
        <is>
          <t>avverkningsanmälan</t>
        </is>
      </c>
      <c r="C805" t="inlineStr">
        <is>
          <t>Föryngringsavverkning</t>
        </is>
      </c>
      <c r="D805" s="1" t="n">
        <v>46272</v>
      </c>
      <c r="E805" s="1" t="n">
        <v>46314</v>
      </c>
      <c r="F805" t="inlineStr">
        <is>
          <t>KRONOBERGS LÄN</t>
        </is>
      </c>
      <c r="G805" t="inlineStr">
        <is>
          <t>VÄXJÖ</t>
        </is>
      </c>
      <c r="I805" t="n">
        <v>5.4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inlineStr"/>
    </row>
    <row r="806" ht="15" customHeight="1">
      <c r="A806" t="inlineStr">
        <is>
          <t>A 36839-2026</t>
        </is>
      </c>
      <c r="B806" t="inlineStr">
        <is>
          <t>avverkningsanmälan</t>
        </is>
      </c>
      <c r="C806" t="inlineStr">
        <is>
          <t>Föryngringsavverkning</t>
        </is>
      </c>
      <c r="D806" s="1" t="n">
        <v>46272</v>
      </c>
      <c r="E806" s="1" t="n">
        <v>46314</v>
      </c>
      <c r="F806" t="inlineStr">
        <is>
          <t>KRONOBERGS LÄN</t>
        </is>
      </c>
      <c r="G806" t="inlineStr">
        <is>
          <t>VÄXJÖ</t>
        </is>
      </c>
      <c r="I806" t="n">
        <v>3.1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inlineStr"/>
    </row>
    <row r="807" ht="15" customHeight="1">
      <c r="A807" t="inlineStr">
        <is>
          <t>A 38880-2023</t>
        </is>
      </c>
      <c r="B807" t="inlineStr">
        <is>
          <t>avverkningsanmälan</t>
        </is>
      </c>
      <c r="C807" t="inlineStr">
        <is>
          <t>Avverkning för annat ändamål</t>
        </is>
      </c>
      <c r="D807" s="1" t="n">
        <v>45161</v>
      </c>
      <c r="E807" s="1" t="n">
        <v>46314</v>
      </c>
      <c r="F807" t="inlineStr">
        <is>
          <t>KRONOBERGS LÄN</t>
        </is>
      </c>
      <c r="G807" t="inlineStr">
        <is>
          <t>VÄXJÖ</t>
        </is>
      </c>
      <c r="I807" t="n">
        <v>2.1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inlineStr"/>
    </row>
    <row r="808" ht="15" customHeight="1">
      <c r="A808" t="inlineStr">
        <is>
          <t>A 21872-2022</t>
        </is>
      </c>
      <c r="B808" t="inlineStr">
        <is>
          <t>avverkningsanmälan</t>
        </is>
      </c>
      <c r="C808" t="inlineStr">
        <is>
          <t>Föryngringsavverkning</t>
        </is>
      </c>
      <c r="D808" s="1" t="n">
        <v>44711</v>
      </c>
      <c r="E808" s="1" t="n">
        <v>46314</v>
      </c>
      <c r="F808" t="inlineStr">
        <is>
          <t>KRONOBERGS LÄN</t>
        </is>
      </c>
      <c r="G808" t="inlineStr">
        <is>
          <t>VÄXJÖ</t>
        </is>
      </c>
      <c r="I808" t="n">
        <v>0.9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inlineStr"/>
    </row>
    <row r="809" ht="15" customHeight="1">
      <c r="A809" t="inlineStr">
        <is>
          <t>A 32466-2022</t>
        </is>
      </c>
      <c r="B809" t="inlineStr">
        <is>
          <t>avverkningsanmälan</t>
        </is>
      </c>
      <c r="C809" t="inlineStr">
        <is>
          <t>Föryngringsavverkning</t>
        </is>
      </c>
      <c r="D809" s="1" t="n">
        <v>44782</v>
      </c>
      <c r="E809" s="1" t="n">
        <v>46314</v>
      </c>
      <c r="F809" t="inlineStr">
        <is>
          <t>KRONOBERGS LÄN</t>
        </is>
      </c>
      <c r="G809" t="inlineStr">
        <is>
          <t>VÄXJÖ</t>
        </is>
      </c>
      <c r="H809" t="inlineStr">
        <is>
          <t>Kyrkan</t>
        </is>
      </c>
      <c r="I809" t="n">
        <v>4.4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inlineStr"/>
    </row>
    <row r="810" ht="15" customHeight="1">
      <c r="A810" t="inlineStr">
        <is>
          <t>A 44175-2024</t>
        </is>
      </c>
      <c r="B810" t="inlineStr">
        <is>
          <t>avverkningsanmälan</t>
        </is>
      </c>
      <c r="C810" t="inlineStr">
        <is>
          <t>Föryngringsavverkning</t>
        </is>
      </c>
      <c r="D810" s="1" t="n">
        <v>45572</v>
      </c>
      <c r="E810" s="1" t="n">
        <v>46314</v>
      </c>
      <c r="F810" t="inlineStr">
        <is>
          <t>KRONOBERGS LÄN</t>
        </is>
      </c>
      <c r="G810" t="inlineStr">
        <is>
          <t>VÄXJÖ</t>
        </is>
      </c>
      <c r="I810" t="n">
        <v>4.6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inlineStr"/>
    </row>
    <row r="811" ht="15" customHeight="1">
      <c r="A811" t="inlineStr">
        <is>
          <t>A 48860-2023</t>
        </is>
      </c>
      <c r="B811" t="inlineStr">
        <is>
          <t>avverkningsanmälan</t>
        </is>
      </c>
      <c r="C811" t="inlineStr">
        <is>
          <t>Föryngringsavverkning</t>
        </is>
      </c>
      <c r="D811" s="1" t="n">
        <v>45204</v>
      </c>
      <c r="E811" s="1" t="n">
        <v>46314</v>
      </c>
      <c r="F811" t="inlineStr">
        <is>
          <t>KRONOBERGS LÄN</t>
        </is>
      </c>
      <c r="G811" t="inlineStr">
        <is>
          <t>VÄXJÖ</t>
        </is>
      </c>
      <c r="I811" t="n">
        <v>1.4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inlineStr"/>
    </row>
    <row r="812" ht="15" customHeight="1">
      <c r="A812" t="inlineStr">
        <is>
          <t>A 31980-2026</t>
        </is>
      </c>
      <c r="B812" t="inlineStr">
        <is>
          <t>avverkningsanmälan</t>
        </is>
      </c>
      <c r="C812" t="inlineStr">
        <is>
          <t>Föryngringsavverkning</t>
        </is>
      </c>
      <c r="D812" s="1" t="n">
        <v>46232</v>
      </c>
      <c r="E812" s="1" t="n">
        <v>46314</v>
      </c>
      <c r="F812" t="inlineStr">
        <is>
          <t>KRONOBERGS LÄN</t>
        </is>
      </c>
      <c r="G812" t="inlineStr">
        <is>
          <t>VÄXJÖ</t>
        </is>
      </c>
      <c r="I812" t="n">
        <v>0.4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inlineStr"/>
    </row>
    <row r="813" ht="15" customHeight="1">
      <c r="A813" t="inlineStr">
        <is>
          <t>A 21990-2024</t>
        </is>
      </c>
      <c r="B813" t="inlineStr">
        <is>
          <t>avverkningsanmälan</t>
        </is>
      </c>
      <c r="C813" t="inlineStr">
        <is>
          <t>Föryngringsavverkning</t>
        </is>
      </c>
      <c r="D813" s="1" t="n">
        <v>45443</v>
      </c>
      <c r="E813" s="1" t="n">
        <v>46314</v>
      </c>
      <c r="F813" t="inlineStr">
        <is>
          <t>KRONOBERGS LÄN</t>
        </is>
      </c>
      <c r="G813" t="inlineStr">
        <is>
          <t>VÄXJÖ</t>
        </is>
      </c>
      <c r="I813" t="n">
        <v>0.5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inlineStr"/>
    </row>
    <row r="814" ht="15" customHeight="1">
      <c r="A814" t="inlineStr">
        <is>
          <t>A 11228-2025</t>
        </is>
      </c>
      <c r="B814" t="inlineStr">
        <is>
          <t>avverkningsanmälan</t>
        </is>
      </c>
      <c r="C814" t="inlineStr">
        <is>
          <t>Föryngringsavverkning</t>
        </is>
      </c>
      <c r="D814" s="1" t="n">
        <v>45726</v>
      </c>
      <c r="E814" s="1" t="n">
        <v>46314</v>
      </c>
      <c r="F814" t="inlineStr">
        <is>
          <t>KRONOBERGS LÄN</t>
        </is>
      </c>
      <c r="G814" t="inlineStr">
        <is>
          <t>VÄXJÖ</t>
        </is>
      </c>
      <c r="I814" t="n">
        <v>5.2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s="2" t="inlineStr"/>
    </row>
    <row r="815" ht="15" customHeight="1">
      <c r="A815" t="inlineStr">
        <is>
          <t>A 34464-2023</t>
        </is>
      </c>
      <c r="B815" t="inlineStr">
        <is>
          <t>avverkningsanmälan</t>
        </is>
      </c>
      <c r="C815" t="inlineStr">
        <is>
          <t>Föryngringsavverkning</t>
        </is>
      </c>
      <c r="D815" s="1" t="n">
        <v>45139</v>
      </c>
      <c r="E815" s="1" t="n">
        <v>46314</v>
      </c>
      <c r="F815" t="inlineStr">
        <is>
          <t>KRONOBERGS LÄN</t>
        </is>
      </c>
      <c r="G815" t="inlineStr">
        <is>
          <t>VÄXJÖ</t>
        </is>
      </c>
      <c r="I815" t="n">
        <v>0.8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s="2" t="inlineStr"/>
    </row>
    <row r="816" ht="15" customHeight="1">
      <c r="A816" t="inlineStr">
        <is>
          <t>A 11643-2024</t>
        </is>
      </c>
      <c r="B816" t="inlineStr">
        <is>
          <t>avverkningsanmälan</t>
        </is>
      </c>
      <c r="C816" t="inlineStr">
        <is>
          <t>Föryngringsavverkning</t>
        </is>
      </c>
      <c r="D816" s="1" t="n">
        <v>45373</v>
      </c>
      <c r="E816" s="1" t="n">
        <v>46314</v>
      </c>
      <c r="F816" t="inlineStr">
        <is>
          <t>KRONOBERGS LÄN</t>
        </is>
      </c>
      <c r="G816" t="inlineStr">
        <is>
          <t>VÄXJÖ</t>
        </is>
      </c>
      <c r="I816" t="n">
        <v>0.9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s="2" t="inlineStr"/>
    </row>
    <row r="817" ht="15" customHeight="1">
      <c r="A817" t="inlineStr">
        <is>
          <t>A 10795-2024</t>
        </is>
      </c>
      <c r="B817" t="inlineStr">
        <is>
          <t>avverkningsanmälan</t>
        </is>
      </c>
      <c r="C817" t="inlineStr">
        <is>
          <t>Föryngringsavverkning</t>
        </is>
      </c>
      <c r="D817" s="1" t="n">
        <v>45369</v>
      </c>
      <c r="E817" s="1" t="n">
        <v>46314</v>
      </c>
      <c r="F817" t="inlineStr">
        <is>
          <t>KRONOBERGS LÄN</t>
        </is>
      </c>
      <c r="G817" t="inlineStr">
        <is>
          <t>VÄXJÖ</t>
        </is>
      </c>
      <c r="I817" t="n">
        <v>0.5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s="2" t="inlineStr"/>
    </row>
    <row r="818" ht="15" customHeight="1">
      <c r="A818" t="inlineStr">
        <is>
          <t>A 31979-2026</t>
        </is>
      </c>
      <c r="B818" t="inlineStr">
        <is>
          <t>avverkningsanmälan</t>
        </is>
      </c>
      <c r="C818" t="inlineStr">
        <is>
          <t>Föryngringsavverkning</t>
        </is>
      </c>
      <c r="D818" s="1" t="n">
        <v>46232</v>
      </c>
      <c r="E818" s="1" t="n">
        <v>46314</v>
      </c>
      <c r="F818" t="inlineStr">
        <is>
          <t>KRONOBERGS LÄN</t>
        </is>
      </c>
      <c r="G818" t="inlineStr">
        <is>
          <t>VÄXJÖ</t>
        </is>
      </c>
      <c r="I818" t="n">
        <v>0.9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s="2" t="inlineStr"/>
    </row>
    <row r="819" ht="15" customHeight="1">
      <c r="A819" t="inlineStr">
        <is>
          <t>A 33279-2023</t>
        </is>
      </c>
      <c r="B819" t="inlineStr">
        <is>
          <t>avverkningsanmälan</t>
        </is>
      </c>
      <c r="C819" t="inlineStr">
        <is>
          <t>Föryngringsavverkning</t>
        </is>
      </c>
      <c r="D819" s="1" t="n">
        <v>45127</v>
      </c>
      <c r="E819" s="1" t="n">
        <v>46314</v>
      </c>
      <c r="F819" t="inlineStr">
        <is>
          <t>KRONOBERGS LÄN</t>
        </is>
      </c>
      <c r="G819" t="inlineStr">
        <is>
          <t>VÄXJÖ</t>
        </is>
      </c>
      <c r="I819" t="n">
        <v>0.8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s="2" t="inlineStr"/>
    </row>
    <row r="820" ht="15" customHeight="1">
      <c r="A820" t="inlineStr">
        <is>
          <t>A 33283-2023</t>
        </is>
      </c>
      <c r="B820" t="inlineStr">
        <is>
          <t>avverkningsanmälan</t>
        </is>
      </c>
      <c r="C820" t="inlineStr">
        <is>
          <t>Föryngringsavverkning</t>
        </is>
      </c>
      <c r="D820" s="1" t="n">
        <v>45127</v>
      </c>
      <c r="E820" s="1" t="n">
        <v>46314</v>
      </c>
      <c r="F820" t="inlineStr">
        <is>
          <t>KRONOBERGS LÄN</t>
        </is>
      </c>
      <c r="G820" t="inlineStr">
        <is>
          <t>VÄXJÖ</t>
        </is>
      </c>
      <c r="I820" t="n">
        <v>0.6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s="2" t="inlineStr"/>
    </row>
    <row r="821" ht="15" customHeight="1">
      <c r="A821" t="inlineStr">
        <is>
          <t>A 11438-2024</t>
        </is>
      </c>
      <c r="B821" t="inlineStr">
        <is>
          <t>avverkningsanmälan</t>
        </is>
      </c>
      <c r="C821" t="inlineStr">
        <is>
          <t>Föryngringsavverkning</t>
        </is>
      </c>
      <c r="D821" s="1" t="n">
        <v>45372</v>
      </c>
      <c r="E821" s="1" t="n">
        <v>46314</v>
      </c>
      <c r="F821" t="inlineStr">
        <is>
          <t>KRONOBERGS LÄN</t>
        </is>
      </c>
      <c r="G821" t="inlineStr">
        <is>
          <t>VÄXJÖ</t>
        </is>
      </c>
      <c r="I821" t="n">
        <v>7.3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s="2" t="inlineStr"/>
    </row>
    <row r="822" ht="15" customHeight="1">
      <c r="A822" t="inlineStr">
        <is>
          <t>A 51394-2023</t>
        </is>
      </c>
      <c r="B822" t="inlineStr">
        <is>
          <t>avverkningsanmälan</t>
        </is>
      </c>
      <c r="C822" t="inlineStr">
        <is>
          <t>Föryngringsavverkning</t>
        </is>
      </c>
      <c r="D822" s="1" t="n">
        <v>45219</v>
      </c>
      <c r="E822" s="1" t="n">
        <v>46314</v>
      </c>
      <c r="F822" t="inlineStr">
        <is>
          <t>KRONOBERGS LÄN</t>
        </is>
      </c>
      <c r="G822" t="inlineStr">
        <is>
          <t>VÄXJÖ</t>
        </is>
      </c>
      <c r="I822" t="n">
        <v>0.5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s="2" t="inlineStr"/>
    </row>
    <row r="823" ht="15" customHeight="1">
      <c r="A823" t="inlineStr">
        <is>
          <t>A 49017-2024</t>
        </is>
      </c>
      <c r="B823" t="inlineStr">
        <is>
          <t>avverkningsanmälan</t>
        </is>
      </c>
      <c r="C823" t="inlineStr">
        <is>
          <t>Föryngringsavverkning</t>
        </is>
      </c>
      <c r="D823" s="1" t="n">
        <v>45594</v>
      </c>
      <c r="E823" s="1" t="n">
        <v>46314</v>
      </c>
      <c r="F823" t="inlineStr">
        <is>
          <t>KRONOBERGS LÄN</t>
        </is>
      </c>
      <c r="G823" t="inlineStr">
        <is>
          <t>VÄXJÖ</t>
        </is>
      </c>
      <c r="H823" t="inlineStr">
        <is>
          <t>Sveaskog</t>
        </is>
      </c>
      <c r="I823" t="n">
        <v>1.4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s="2" t="inlineStr"/>
    </row>
    <row r="824" ht="15" customHeight="1">
      <c r="A824" t="inlineStr">
        <is>
          <t>A 49021-2024</t>
        </is>
      </c>
      <c r="B824" t="inlineStr">
        <is>
          <t>avverkningsanmälan</t>
        </is>
      </c>
      <c r="C824" t="inlineStr">
        <is>
          <t>Föryngringsavverkning</t>
        </is>
      </c>
      <c r="D824" s="1" t="n">
        <v>45594</v>
      </c>
      <c r="E824" s="1" t="n">
        <v>46314</v>
      </c>
      <c r="F824" t="inlineStr">
        <is>
          <t>KRONOBERGS LÄN</t>
        </is>
      </c>
      <c r="G824" t="inlineStr">
        <is>
          <t>VÄXJÖ</t>
        </is>
      </c>
      <c r="H824" t="inlineStr">
        <is>
          <t>Sveaskog</t>
        </is>
      </c>
      <c r="I824" t="n">
        <v>3.6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s="2" t="inlineStr"/>
    </row>
    <row r="825" ht="15" customHeight="1">
      <c r="A825" t="inlineStr">
        <is>
          <t>A 18823-2022</t>
        </is>
      </c>
      <c r="B825" t="inlineStr">
        <is>
          <t>avverkningsanmälan</t>
        </is>
      </c>
      <c r="C825" t="inlineStr">
        <is>
          <t>Föryngringsavverkning</t>
        </is>
      </c>
      <c r="D825" s="1" t="n">
        <v>44690</v>
      </c>
      <c r="E825" s="1" t="n">
        <v>46314</v>
      </c>
      <c r="F825" t="inlineStr">
        <is>
          <t>KRONOBERGS LÄN</t>
        </is>
      </c>
      <c r="G825" t="inlineStr">
        <is>
          <t>VÄXJÖ</t>
        </is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s="2" t="inlineStr"/>
    </row>
    <row r="826" ht="15" customHeight="1">
      <c r="A826" t="inlineStr">
        <is>
          <t>A 32306-2026</t>
        </is>
      </c>
      <c r="B826" t="inlineStr">
        <is>
          <t>avverkningsanmälan</t>
        </is>
      </c>
      <c r="C826" t="inlineStr">
        <is>
          <t>Föryngringsavverkning</t>
        </is>
      </c>
      <c r="D826" s="1" t="n">
        <v>46237</v>
      </c>
      <c r="E826" s="1" t="n">
        <v>46314</v>
      </c>
      <c r="F826" t="inlineStr">
        <is>
          <t>KRONOBERGS LÄN</t>
        </is>
      </c>
      <c r="G826" t="inlineStr">
        <is>
          <t>VÄXJÖ</t>
        </is>
      </c>
      <c r="I826" t="n">
        <v>0.7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s="2" t="inlineStr"/>
    </row>
    <row r="827" ht="15" customHeight="1">
      <c r="A827" t="inlineStr">
        <is>
          <t>A 13015-2024</t>
        </is>
      </c>
      <c r="B827" t="inlineStr">
        <is>
          <t>avverkningsanmälan</t>
        </is>
      </c>
      <c r="C827" t="inlineStr">
        <is>
          <t>Föryngringsavverkning</t>
        </is>
      </c>
      <c r="D827" s="1" t="n">
        <v>45385</v>
      </c>
      <c r="E827" s="1" t="n">
        <v>46314</v>
      </c>
      <c r="F827" t="inlineStr">
        <is>
          <t>KRONOBERGS LÄN</t>
        </is>
      </c>
      <c r="G827" t="inlineStr">
        <is>
          <t>VÄXJÖ</t>
        </is>
      </c>
      <c r="H827" t="inlineStr">
        <is>
          <t>Sveaskog</t>
        </is>
      </c>
      <c r="I827" t="n">
        <v>3.6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s="2" t="inlineStr"/>
    </row>
    <row r="828" ht="15" customHeight="1">
      <c r="A828" t="inlineStr">
        <is>
          <t>A 37529-2026</t>
        </is>
      </c>
      <c r="B828" t="inlineStr">
        <is>
          <t>avverkningsanmälan</t>
        </is>
      </c>
      <c r="C828" t="inlineStr">
        <is>
          <t>Föryngringsavverkning</t>
        </is>
      </c>
      <c r="D828" s="1" t="n">
        <v>46276</v>
      </c>
      <c r="E828" s="1" t="n">
        <v>46314</v>
      </c>
      <c r="F828" t="inlineStr">
        <is>
          <t>KRONOBERGS LÄN</t>
        </is>
      </c>
      <c r="G828" t="inlineStr">
        <is>
          <t>VÄXJÖ</t>
        </is>
      </c>
      <c r="I828" t="n">
        <v>2.4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s="2" t="inlineStr"/>
    </row>
    <row r="829" ht="15" customHeight="1">
      <c r="A829" t="inlineStr">
        <is>
          <t>A 7299-2025</t>
        </is>
      </c>
      <c r="B829" t="inlineStr">
        <is>
          <t>avverkningsanmälan</t>
        </is>
      </c>
      <c r="C829" t="inlineStr">
        <is>
          <t>Föryngringsavverkning</t>
        </is>
      </c>
      <c r="D829" s="1" t="n">
        <v>45702</v>
      </c>
      <c r="E829" s="1" t="n">
        <v>46314</v>
      </c>
      <c r="F829" t="inlineStr">
        <is>
          <t>KRONOBERGS LÄN</t>
        </is>
      </c>
      <c r="G829" t="inlineStr">
        <is>
          <t>VÄXJÖ</t>
        </is>
      </c>
      <c r="I829" t="n">
        <v>1.2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s="2" t="inlineStr"/>
    </row>
    <row r="830" ht="15" customHeight="1">
      <c r="A830" t="inlineStr">
        <is>
          <t>A 12704-2023</t>
        </is>
      </c>
      <c r="B830" t="inlineStr">
        <is>
          <t>avverkningsanmälan</t>
        </is>
      </c>
      <c r="C830" t="inlineStr">
        <is>
          <t>Föryngringsavverkning</t>
        </is>
      </c>
      <c r="D830" s="1" t="n">
        <v>45000</v>
      </c>
      <c r="E830" s="1" t="n">
        <v>46314</v>
      </c>
      <c r="F830" t="inlineStr">
        <is>
          <t>KRONOBERGS LÄN</t>
        </is>
      </c>
      <c r="G830" t="inlineStr">
        <is>
          <t>VÄXJÖ</t>
        </is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s="2" t="inlineStr"/>
    </row>
    <row r="831" ht="15" customHeight="1">
      <c r="A831" t="inlineStr">
        <is>
          <t>A 22221-2024</t>
        </is>
      </c>
      <c r="B831" t="inlineStr">
        <is>
          <t>avverkningsanmälan</t>
        </is>
      </c>
      <c r="C831" t="inlineStr">
        <is>
          <t>Föryngringsavverkning</t>
        </is>
      </c>
      <c r="D831" s="1" t="n">
        <v>45446</v>
      </c>
      <c r="E831" s="1" t="n">
        <v>46314</v>
      </c>
      <c r="F831" t="inlineStr">
        <is>
          <t>KRONOBERGS LÄN</t>
        </is>
      </c>
      <c r="G831" t="inlineStr">
        <is>
          <t>VÄXJÖ</t>
        </is>
      </c>
      <c r="I831" t="n">
        <v>2.2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s="2" t="inlineStr"/>
    </row>
    <row r="832" ht="15" customHeight="1">
      <c r="A832" t="inlineStr">
        <is>
          <t>A 48268-2022</t>
        </is>
      </c>
      <c r="B832" t="inlineStr">
        <is>
          <t>avverkningsanmälan</t>
        </is>
      </c>
      <c r="C832" t="inlineStr">
        <is>
          <t>Föryngringsavverkning</t>
        </is>
      </c>
      <c r="D832" s="1" t="n">
        <v>44858</v>
      </c>
      <c r="E832" s="1" t="n">
        <v>46314</v>
      </c>
      <c r="F832" t="inlineStr">
        <is>
          <t>KRONOBERGS LÄN</t>
        </is>
      </c>
      <c r="G832" t="inlineStr">
        <is>
          <t>VÄXJÖ</t>
        </is>
      </c>
      <c r="I832" t="n">
        <v>3.7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s="2" t="inlineStr"/>
    </row>
    <row r="833" ht="15" customHeight="1">
      <c r="A833" t="inlineStr">
        <is>
          <t>A 37642-2026</t>
        </is>
      </c>
      <c r="B833" t="inlineStr">
        <is>
          <t>avverkningsanmälan</t>
        </is>
      </c>
      <c r="C833" t="inlineStr">
        <is>
          <t>Föryngringsavverkning</t>
        </is>
      </c>
      <c r="D833" s="1" t="n">
        <v>46276</v>
      </c>
      <c r="E833" s="1" t="n">
        <v>46314</v>
      </c>
      <c r="F833" t="inlineStr">
        <is>
          <t>KRONOBERGS LÄN</t>
        </is>
      </c>
      <c r="G833" t="inlineStr">
        <is>
          <t>VÄXJÖ</t>
        </is>
      </c>
      <c r="I833" t="n">
        <v>0.6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s="2" t="inlineStr"/>
    </row>
    <row r="834" ht="15" customHeight="1">
      <c r="A834" t="inlineStr">
        <is>
          <t>A 48996-2024</t>
        </is>
      </c>
      <c r="B834" t="inlineStr">
        <is>
          <t>avverkningsanmälan</t>
        </is>
      </c>
      <c r="C834" t="inlineStr">
        <is>
          <t>Föryngringsavverkning</t>
        </is>
      </c>
      <c r="D834" s="1" t="n">
        <v>45594</v>
      </c>
      <c r="E834" s="1" t="n">
        <v>46314</v>
      </c>
      <c r="F834" t="inlineStr">
        <is>
          <t>KRONOBERGS LÄN</t>
        </is>
      </c>
      <c r="G834" t="inlineStr">
        <is>
          <t>VÄXJÖ</t>
        </is>
      </c>
      <c r="H834" t="inlineStr">
        <is>
          <t>Sveaskog</t>
        </is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s="2" t="inlineStr"/>
    </row>
    <row r="835" ht="15" customHeight="1">
      <c r="A835" t="inlineStr">
        <is>
          <t>A 49004-2024</t>
        </is>
      </c>
      <c r="B835" t="inlineStr">
        <is>
          <t>avverkningsanmälan</t>
        </is>
      </c>
      <c r="C835" t="inlineStr">
        <is>
          <t>Föryngringsavverkning</t>
        </is>
      </c>
      <c r="D835" s="1" t="n">
        <v>45594</v>
      </c>
      <c r="E835" s="1" t="n">
        <v>46314</v>
      </c>
      <c r="F835" t="inlineStr">
        <is>
          <t>KRONOBERGS LÄN</t>
        </is>
      </c>
      <c r="G835" t="inlineStr">
        <is>
          <t>VÄXJÖ</t>
        </is>
      </c>
      <c r="H835" t="inlineStr">
        <is>
          <t>Sveaskog</t>
        </is>
      </c>
      <c r="I835" t="n">
        <v>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s="2" t="inlineStr"/>
    </row>
    <row r="836" ht="15" customHeight="1">
      <c r="A836" t="inlineStr">
        <is>
          <t>A 49007-2024</t>
        </is>
      </c>
      <c r="B836" t="inlineStr">
        <is>
          <t>avverkningsanmälan</t>
        </is>
      </c>
      <c r="C836" t="inlineStr">
        <is>
          <t>Föryngringsavverkning</t>
        </is>
      </c>
      <c r="D836" s="1" t="n">
        <v>45594</v>
      </c>
      <c r="E836" s="1" t="n">
        <v>46314</v>
      </c>
      <c r="F836" t="inlineStr">
        <is>
          <t>KRONOBERGS LÄN</t>
        </is>
      </c>
      <c r="G836" t="inlineStr">
        <is>
          <t>VÄXJÖ</t>
        </is>
      </c>
      <c r="H836" t="inlineStr">
        <is>
          <t>Sveaskog</t>
        </is>
      </c>
      <c r="I836" t="n">
        <v>0.4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s="2" t="inlineStr"/>
    </row>
    <row r="837" ht="15" customHeight="1">
      <c r="A837" t="inlineStr">
        <is>
          <t>A 49022-2024</t>
        </is>
      </c>
      <c r="B837" t="inlineStr">
        <is>
          <t>avverkningsanmälan</t>
        </is>
      </c>
      <c r="C837" t="inlineStr">
        <is>
          <t>Föryngringsavverkning</t>
        </is>
      </c>
      <c r="D837" s="1" t="n">
        <v>45594</v>
      </c>
      <c r="E837" s="1" t="n">
        <v>46314</v>
      </c>
      <c r="F837" t="inlineStr">
        <is>
          <t>KRONOBERGS LÄN</t>
        </is>
      </c>
      <c r="G837" t="inlineStr">
        <is>
          <t>VÄXJÖ</t>
        </is>
      </c>
      <c r="H837" t="inlineStr">
        <is>
          <t>Sveaskog</t>
        </is>
      </c>
      <c r="I837" t="n">
        <v>0.8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s="2" t="inlineStr"/>
    </row>
    <row r="838" ht="15" customHeight="1">
      <c r="A838" t="inlineStr">
        <is>
          <t>A 49025-2024</t>
        </is>
      </c>
      <c r="B838" t="inlineStr">
        <is>
          <t>avverkningsanmälan</t>
        </is>
      </c>
      <c r="C838" t="inlineStr">
        <is>
          <t>Föryngringsavverkning</t>
        </is>
      </c>
      <c r="D838" s="1" t="n">
        <v>45594</v>
      </c>
      <c r="E838" s="1" t="n">
        <v>46314</v>
      </c>
      <c r="F838" t="inlineStr">
        <is>
          <t>KRONOBERGS LÄN</t>
        </is>
      </c>
      <c r="G838" t="inlineStr">
        <is>
          <t>VÄXJÖ</t>
        </is>
      </c>
      <c r="H838" t="inlineStr">
        <is>
          <t>Sveaskog</t>
        </is>
      </c>
      <c r="I838" t="n">
        <v>0.8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s="2" t="inlineStr"/>
    </row>
    <row r="839" ht="15" customHeight="1">
      <c r="A839" t="inlineStr">
        <is>
          <t>A 1251-2024</t>
        </is>
      </c>
      <c r="B839" t="inlineStr">
        <is>
          <t>avverkningsanmälan</t>
        </is>
      </c>
      <c r="C839" t="inlineStr">
        <is>
          <t>Föryngringsavverkning</t>
        </is>
      </c>
      <c r="D839" s="1" t="n">
        <v>45302</v>
      </c>
      <c r="E839" s="1" t="n">
        <v>46314</v>
      </c>
      <c r="F839" t="inlineStr">
        <is>
          <t>KRONOBERGS LÄN</t>
        </is>
      </c>
      <c r="G839" t="inlineStr">
        <is>
          <t>VÄXJÖ</t>
        </is>
      </c>
      <c r="I839" t="n">
        <v>0.9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s="2" t="inlineStr"/>
    </row>
    <row r="840" ht="15" customHeight="1">
      <c r="A840" t="inlineStr">
        <is>
          <t>A 1252-2024</t>
        </is>
      </c>
      <c r="B840" t="inlineStr">
        <is>
          <t>avverkningsanmälan</t>
        </is>
      </c>
      <c r="C840" t="inlineStr">
        <is>
          <t>Föryngringsavverkning</t>
        </is>
      </c>
      <c r="D840" s="1" t="n">
        <v>45302</v>
      </c>
      <c r="E840" s="1" t="n">
        <v>46314</v>
      </c>
      <c r="F840" t="inlineStr">
        <is>
          <t>KRONOBERGS LÄN</t>
        </is>
      </c>
      <c r="G840" t="inlineStr">
        <is>
          <t>VÄXJÖ</t>
        </is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s="2" t="inlineStr"/>
    </row>
    <row r="841" ht="15" customHeight="1">
      <c r="A841" t="inlineStr">
        <is>
          <t>A 5276-2023</t>
        </is>
      </c>
      <c r="B841" t="inlineStr">
        <is>
          <t>avverkningsanmälan</t>
        </is>
      </c>
      <c r="C841" t="inlineStr">
        <is>
          <t>Föryngringsavverkning</t>
        </is>
      </c>
      <c r="D841" s="1" t="n">
        <v>44959</v>
      </c>
      <c r="E841" s="1" t="n">
        <v>46314</v>
      </c>
      <c r="F841" t="inlineStr">
        <is>
          <t>KRONOBERGS LÄN</t>
        </is>
      </c>
      <c r="G841" t="inlineStr">
        <is>
          <t>VÄXJÖ</t>
        </is>
      </c>
      <c r="I841" t="n">
        <v>1.2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s="2" t="inlineStr"/>
    </row>
    <row r="842" ht="15" customHeight="1">
      <c r="A842" t="inlineStr">
        <is>
          <t>A 56863-2022</t>
        </is>
      </c>
      <c r="B842" t="inlineStr">
        <is>
          <t>avverkningsanmälan</t>
        </is>
      </c>
      <c r="C842" t="inlineStr">
        <is>
          <t>Föryngringsavverkning</t>
        </is>
      </c>
      <c r="D842" s="1" t="n">
        <v>44894</v>
      </c>
      <c r="E842" s="1" t="n">
        <v>46314</v>
      </c>
      <c r="F842" t="inlineStr">
        <is>
          <t>KRONOBERGS LÄN</t>
        </is>
      </c>
      <c r="G842" t="inlineStr">
        <is>
          <t>VÄXJÖ</t>
        </is>
      </c>
      <c r="I842" t="n">
        <v>11.1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s="2" t="inlineStr"/>
    </row>
    <row r="843" ht="15" customHeight="1">
      <c r="A843" t="inlineStr">
        <is>
          <t>A 62244-2023</t>
        </is>
      </c>
      <c r="B843" t="inlineStr">
        <is>
          <t>avverkningsanmälan</t>
        </is>
      </c>
      <c r="C843" t="inlineStr">
        <is>
          <t>Föryngringsavverkning</t>
        </is>
      </c>
      <c r="D843" s="1" t="n">
        <v>45267</v>
      </c>
      <c r="E843" s="1" t="n">
        <v>46314</v>
      </c>
      <c r="F843" t="inlineStr">
        <is>
          <t>KRONOBERGS LÄN</t>
        </is>
      </c>
      <c r="G843" t="inlineStr">
        <is>
          <t>VÄXJÖ</t>
        </is>
      </c>
      <c r="I843" t="n">
        <v>0.6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s="2" t="inlineStr"/>
    </row>
    <row r="844" ht="15" customHeight="1">
      <c r="A844" t="inlineStr">
        <is>
          <t>A 47868-2023</t>
        </is>
      </c>
      <c r="B844" t="inlineStr">
        <is>
          <t>avverkningsanmälan</t>
        </is>
      </c>
      <c r="C844" t="inlineStr">
        <is>
          <t>Föryngringsavverkning</t>
        </is>
      </c>
      <c r="D844" s="1" t="n">
        <v>45198</v>
      </c>
      <c r="E844" s="1" t="n">
        <v>46314</v>
      </c>
      <c r="F844" t="inlineStr">
        <is>
          <t>KRONOBERGS LÄN</t>
        </is>
      </c>
      <c r="G844" t="inlineStr">
        <is>
          <t>VÄXJÖ</t>
        </is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s="2" t="inlineStr"/>
    </row>
    <row r="845" ht="15" customHeight="1">
      <c r="A845" t="inlineStr">
        <is>
          <t>A 14172-2022</t>
        </is>
      </c>
      <c r="B845" t="inlineStr">
        <is>
          <t>avverkningsanmälan</t>
        </is>
      </c>
      <c r="C845" t="inlineStr">
        <is>
          <t>Föryngringsavverkning</t>
        </is>
      </c>
      <c r="D845" s="1" t="n">
        <v>44651</v>
      </c>
      <c r="E845" s="1" t="n">
        <v>46314</v>
      </c>
      <c r="F845" t="inlineStr">
        <is>
          <t>KRONOBERGS LÄN</t>
        </is>
      </c>
      <c r="G845" t="inlineStr">
        <is>
          <t>VÄXJÖ</t>
        </is>
      </c>
      <c r="I845" t="n">
        <v>2.5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s="2" t="inlineStr"/>
    </row>
    <row r="846" ht="15" customHeight="1">
      <c r="A846" t="inlineStr">
        <is>
          <t>A 32180-2026</t>
        </is>
      </c>
      <c r="B846" t="inlineStr">
        <is>
          <t>avverkningsanmälan</t>
        </is>
      </c>
      <c r="C846" t="inlineStr">
        <is>
          <t>Föryngringsavverkning</t>
        </is>
      </c>
      <c r="D846" s="1" t="n">
        <v>46237</v>
      </c>
      <c r="E846" s="1" t="n">
        <v>46314</v>
      </c>
      <c r="F846" t="inlineStr">
        <is>
          <t>KRONOBERGS LÄN</t>
        </is>
      </c>
      <c r="G846" t="inlineStr">
        <is>
          <t>VÄXJÖ</t>
        </is>
      </c>
      <c r="I846" t="n">
        <v>0.9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s="2" t="inlineStr"/>
    </row>
    <row r="847" ht="15" customHeight="1">
      <c r="A847" t="inlineStr">
        <is>
          <t>A 37688-2026</t>
        </is>
      </c>
      <c r="B847" t="inlineStr">
        <is>
          <t>avverkningsanmälan</t>
        </is>
      </c>
      <c r="C847" t="inlineStr">
        <is>
          <t>Föryngringsavverkning</t>
        </is>
      </c>
      <c r="D847" s="1" t="n">
        <v>46279</v>
      </c>
      <c r="E847" s="1" t="n">
        <v>46314</v>
      </c>
      <c r="F847" t="inlineStr">
        <is>
          <t>KRONOBERGS LÄN</t>
        </is>
      </c>
      <c r="G847" t="inlineStr">
        <is>
          <t>VÄXJÖ</t>
        </is>
      </c>
      <c r="I847" t="n">
        <v>0.6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s="2" t="inlineStr"/>
    </row>
    <row r="848" ht="15" customHeight="1">
      <c r="A848" t="inlineStr">
        <is>
          <t>A 37690-2026</t>
        </is>
      </c>
      <c r="B848" t="inlineStr">
        <is>
          <t>avverkningsanmälan</t>
        </is>
      </c>
      <c r="C848" t="inlineStr">
        <is>
          <t>Föryngringsavverkning</t>
        </is>
      </c>
      <c r="D848" s="1" t="n">
        <v>46279</v>
      </c>
      <c r="E848" s="1" t="n">
        <v>46314</v>
      </c>
      <c r="F848" t="inlineStr">
        <is>
          <t>KRONOBERGS LÄN</t>
        </is>
      </c>
      <c r="G848" t="inlineStr">
        <is>
          <t>VÄXJÖ</t>
        </is>
      </c>
      <c r="I848" t="n">
        <v>1.7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s="2" t="inlineStr"/>
    </row>
    <row r="849" ht="15" customHeight="1">
      <c r="A849" t="inlineStr">
        <is>
          <t>A 38267-2026</t>
        </is>
      </c>
      <c r="B849" t="inlineStr">
        <is>
          <t>avverkningsanmälan</t>
        </is>
      </c>
      <c r="C849" t="inlineStr">
        <is>
          <t>Föryngringsavverkning</t>
        </is>
      </c>
      <c r="D849" s="1" t="n">
        <v>46281</v>
      </c>
      <c r="E849" s="1" t="n">
        <v>46314</v>
      </c>
      <c r="F849" t="inlineStr">
        <is>
          <t>KRONOBERGS LÄN</t>
        </is>
      </c>
      <c r="G849" t="inlineStr">
        <is>
          <t>VÄXJÖ</t>
        </is>
      </c>
      <c r="I849" t="n">
        <v>1.5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s="2" t="inlineStr"/>
    </row>
    <row r="850" ht="15" customHeight="1">
      <c r="A850" t="inlineStr">
        <is>
          <t>A 31753-2024</t>
        </is>
      </c>
      <c r="B850" t="inlineStr">
        <is>
          <t>avverkningsanmälan</t>
        </is>
      </c>
      <c r="C850" t="inlineStr">
        <is>
          <t>Föryngringsavverkning</t>
        </is>
      </c>
      <c r="D850" s="1" t="n">
        <v>45509</v>
      </c>
      <c r="E850" s="1" t="n">
        <v>46314</v>
      </c>
      <c r="F850" t="inlineStr">
        <is>
          <t>KRONOBERGS LÄN</t>
        </is>
      </c>
      <c r="G850" t="inlineStr">
        <is>
          <t>VÄXJÖ</t>
        </is>
      </c>
      <c r="I850" t="n">
        <v>3.4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s="2" t="inlineStr"/>
    </row>
    <row r="851" ht="15" customHeight="1">
      <c r="A851" t="inlineStr">
        <is>
          <t>A 22500-2024</t>
        </is>
      </c>
      <c r="B851" t="inlineStr">
        <is>
          <t>avverkningsanmälan</t>
        </is>
      </c>
      <c r="C851" t="inlineStr">
        <is>
          <t>Föryngringsavverkning</t>
        </is>
      </c>
      <c r="D851" s="1" t="n">
        <v>45447</v>
      </c>
      <c r="E851" s="1" t="n">
        <v>46314</v>
      </c>
      <c r="F851" t="inlineStr">
        <is>
          <t>KRONOBERGS LÄN</t>
        </is>
      </c>
      <c r="G851" t="inlineStr">
        <is>
          <t>VÄXJÖ</t>
        </is>
      </c>
      <c r="I851" t="n">
        <v>1.5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s="2" t="inlineStr"/>
    </row>
    <row r="852" ht="15" customHeight="1">
      <c r="A852" t="inlineStr">
        <is>
          <t>A 12445-2024</t>
        </is>
      </c>
      <c r="B852" t="inlineStr">
        <is>
          <t>avverkningsanmälan</t>
        </is>
      </c>
      <c r="C852" t="inlineStr">
        <is>
          <t>Föryngringsavverkning</t>
        </is>
      </c>
      <c r="D852" s="1" t="n">
        <v>45378</v>
      </c>
      <c r="E852" s="1" t="n">
        <v>46314</v>
      </c>
      <c r="F852" t="inlineStr">
        <is>
          <t>KRONOBERGS LÄN</t>
        </is>
      </c>
      <c r="G852" t="inlineStr">
        <is>
          <t>VÄXJÖ</t>
        </is>
      </c>
      <c r="I852" t="n">
        <v>1.3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s="2" t="inlineStr"/>
    </row>
    <row r="853" ht="15" customHeight="1">
      <c r="A853" t="inlineStr">
        <is>
          <t>A 30665-2024</t>
        </is>
      </c>
      <c r="B853" t="inlineStr">
        <is>
          <t>avverkningsanmälan</t>
        </is>
      </c>
      <c r="C853" t="inlineStr">
        <is>
          <t>Föryngringsavverkning</t>
        </is>
      </c>
      <c r="D853" s="1" t="n">
        <v>45495</v>
      </c>
      <c r="E853" s="1" t="n">
        <v>46314</v>
      </c>
      <c r="F853" t="inlineStr">
        <is>
          <t>KRONOBERGS LÄN</t>
        </is>
      </c>
      <c r="G853" t="inlineStr">
        <is>
          <t>VÄXJÖ</t>
        </is>
      </c>
      <c r="I853" t="n">
        <v>1.4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s="2" t="inlineStr"/>
    </row>
    <row r="854" ht="15" customHeight="1">
      <c r="A854" t="inlineStr">
        <is>
          <t>A 22213-2024</t>
        </is>
      </c>
      <c r="B854" t="inlineStr">
        <is>
          <t>avverkningsanmälan</t>
        </is>
      </c>
      <c r="C854" t="inlineStr">
        <is>
          <t>Föryngringsavverkning</t>
        </is>
      </c>
      <c r="D854" s="1" t="n">
        <v>45446</v>
      </c>
      <c r="E854" s="1" t="n">
        <v>46314</v>
      </c>
      <c r="F854" t="inlineStr">
        <is>
          <t>KRONOBERGS LÄN</t>
        </is>
      </c>
      <c r="G854" t="inlineStr">
        <is>
          <t>VÄXJÖ</t>
        </is>
      </c>
      <c r="I854" t="n">
        <v>1.3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s="2" t="inlineStr"/>
    </row>
    <row r="855" ht="15" customHeight="1">
      <c r="A855" t="inlineStr">
        <is>
          <t>A 13993-2023</t>
        </is>
      </c>
      <c r="B855" t="inlineStr">
        <is>
          <t>avverkningsanmälan</t>
        </is>
      </c>
      <c r="C855" t="inlineStr">
        <is>
          <t>Föryngringsavverkning</t>
        </is>
      </c>
      <c r="D855" s="1" t="n">
        <v>45008</v>
      </c>
      <c r="E855" s="1" t="n">
        <v>46314</v>
      </c>
      <c r="F855" t="inlineStr">
        <is>
          <t>KRONOBERGS LÄN</t>
        </is>
      </c>
      <c r="G855" t="inlineStr">
        <is>
          <t>VÄXJÖ</t>
        </is>
      </c>
      <c r="I855" t="n">
        <v>1.9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s="2" t="inlineStr"/>
    </row>
    <row r="856" ht="15" customHeight="1">
      <c r="A856" t="inlineStr">
        <is>
          <t>A 26645-2022</t>
        </is>
      </c>
      <c r="B856" t="inlineStr">
        <is>
          <t>avverkningsanmälan</t>
        </is>
      </c>
      <c r="C856" t="inlineStr">
        <is>
          <t>Föryngringsavverkning</t>
        </is>
      </c>
      <c r="D856" s="1" t="n">
        <v>44739</v>
      </c>
      <c r="E856" s="1" t="n">
        <v>46314</v>
      </c>
      <c r="F856" t="inlineStr">
        <is>
          <t>KRONOBERGS LÄN</t>
        </is>
      </c>
      <c r="G856" t="inlineStr">
        <is>
          <t>VÄXJÖ</t>
        </is>
      </c>
      <c r="I856" t="n">
        <v>0.4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s="2" t="inlineStr"/>
    </row>
    <row r="857" ht="15" customHeight="1">
      <c r="A857" t="inlineStr">
        <is>
          <t>A 33340-2024</t>
        </is>
      </c>
      <c r="B857" t="inlineStr">
        <is>
          <t>avverkningsanmälan</t>
        </is>
      </c>
      <c r="C857" t="inlineStr">
        <is>
          <t>Föryngringsavverkning</t>
        </is>
      </c>
      <c r="D857" s="1" t="n">
        <v>45519</v>
      </c>
      <c r="E857" s="1" t="n">
        <v>46314</v>
      </c>
      <c r="F857" t="inlineStr">
        <is>
          <t>KRONOBERGS LÄN</t>
        </is>
      </c>
      <c r="G857" t="inlineStr">
        <is>
          <t>VÄXJÖ</t>
        </is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s="2" t="inlineStr"/>
    </row>
    <row r="858" ht="15" customHeight="1">
      <c r="A858" t="inlineStr">
        <is>
          <t>A 41823-2023</t>
        </is>
      </c>
      <c r="B858" t="inlineStr">
        <is>
          <t>avverkningsanmälan</t>
        </is>
      </c>
      <c r="C858" t="inlineStr">
        <is>
          <t>Föryngringsavverkning</t>
        </is>
      </c>
      <c r="D858" s="1" t="n">
        <v>45176</v>
      </c>
      <c r="E858" s="1" t="n">
        <v>46314</v>
      </c>
      <c r="F858" t="inlineStr">
        <is>
          <t>KRONOBERGS LÄN</t>
        </is>
      </c>
      <c r="G858" t="inlineStr">
        <is>
          <t>VÄXJÖ</t>
        </is>
      </c>
      <c r="I858" t="n">
        <v>2.6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s="2" t="inlineStr"/>
    </row>
    <row r="859" ht="15" customHeight="1">
      <c r="A859" t="inlineStr">
        <is>
          <t>A 41826-2023</t>
        </is>
      </c>
      <c r="B859" t="inlineStr">
        <is>
          <t>avverkningsanmälan</t>
        </is>
      </c>
      <c r="C859" t="inlineStr">
        <is>
          <t>Föryngringsavverkning</t>
        </is>
      </c>
      <c r="D859" s="1" t="n">
        <v>45176</v>
      </c>
      <c r="E859" s="1" t="n">
        <v>46314</v>
      </c>
      <c r="F859" t="inlineStr">
        <is>
          <t>KRONOBERGS LÄN</t>
        </is>
      </c>
      <c r="G859" t="inlineStr">
        <is>
          <t>VÄXJÖ</t>
        </is>
      </c>
      <c r="I859" t="n">
        <v>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s="2" t="inlineStr"/>
    </row>
    <row r="860" ht="15" customHeight="1">
      <c r="A860" t="inlineStr">
        <is>
          <t>A 32540-2026</t>
        </is>
      </c>
      <c r="B860" t="inlineStr">
        <is>
          <t>avverkningsanmälan</t>
        </is>
      </c>
      <c r="C860" t="inlineStr">
        <is>
          <t>Föryngringsavverkning</t>
        </is>
      </c>
      <c r="D860" s="1" t="n">
        <v>46239</v>
      </c>
      <c r="E860" s="1" t="n">
        <v>46314</v>
      </c>
      <c r="F860" t="inlineStr">
        <is>
          <t>KRONOBERGS LÄN</t>
        </is>
      </c>
      <c r="G860" t="inlineStr">
        <is>
          <t>VÄXJÖ</t>
        </is>
      </c>
      <c r="I860" t="n">
        <v>1.4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s="2" t="inlineStr"/>
    </row>
    <row r="861" ht="15" customHeight="1">
      <c r="A861" t="inlineStr">
        <is>
          <t>A 60815-2024</t>
        </is>
      </c>
      <c r="B861" t="inlineStr">
        <is>
          <t>avverkningsanmälan</t>
        </is>
      </c>
      <c r="C861" t="inlineStr">
        <is>
          <t>Föryngringsavverkning</t>
        </is>
      </c>
      <c r="D861" s="1" t="n">
        <v>45644</v>
      </c>
      <c r="E861" s="1" t="n">
        <v>46314</v>
      </c>
      <c r="F861" t="inlineStr">
        <is>
          <t>KRONOBERGS LÄN</t>
        </is>
      </c>
      <c r="G861" t="inlineStr">
        <is>
          <t>VÄXJÖ</t>
        </is>
      </c>
      <c r="I861" t="n">
        <v>0.4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s="2" t="inlineStr"/>
    </row>
    <row r="862" ht="15" customHeight="1">
      <c r="A862" t="inlineStr">
        <is>
          <t>A 38390-2022</t>
        </is>
      </c>
      <c r="B862" t="inlineStr">
        <is>
          <t>avverkningsanmälan</t>
        </is>
      </c>
      <c r="C862" t="inlineStr">
        <is>
          <t>Föryngringsavverkning</t>
        </is>
      </c>
      <c r="D862" s="1" t="n">
        <v>44812</v>
      </c>
      <c r="E862" s="1" t="n">
        <v>46314</v>
      </c>
      <c r="F862" t="inlineStr">
        <is>
          <t>KRONOBERGS LÄN</t>
        </is>
      </c>
      <c r="G862" t="inlineStr">
        <is>
          <t>VÄXJÖ</t>
        </is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s="2" t="inlineStr"/>
    </row>
    <row r="863" ht="15" customHeight="1">
      <c r="A863" t="inlineStr">
        <is>
          <t>A 11271-2023</t>
        </is>
      </c>
      <c r="B863" t="inlineStr">
        <is>
          <t>avverkningsanmälan</t>
        </is>
      </c>
      <c r="C863" t="inlineStr">
        <is>
          <t>Avverkning för annat ändamål</t>
        </is>
      </c>
      <c r="D863" s="1" t="n">
        <v>44992</v>
      </c>
      <c r="E863" s="1" t="n">
        <v>46314</v>
      </c>
      <c r="F863" t="inlineStr">
        <is>
          <t>KRONOBERGS LÄN</t>
        </is>
      </c>
      <c r="G863" t="inlineStr">
        <is>
          <t>VÄXJÖ</t>
        </is>
      </c>
      <c r="I863" t="n">
        <v>0.7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s="2" t="inlineStr"/>
    </row>
    <row r="864" ht="15" customHeight="1">
      <c r="A864" t="inlineStr">
        <is>
          <t>A 34456-2023</t>
        </is>
      </c>
      <c r="B864" t="inlineStr">
        <is>
          <t>avverkningsanmälan</t>
        </is>
      </c>
      <c r="C864" t="inlineStr">
        <is>
          <t>Föryngringsavverkning</t>
        </is>
      </c>
      <c r="D864" s="1" t="n">
        <v>45139</v>
      </c>
      <c r="E864" s="1" t="n">
        <v>46314</v>
      </c>
      <c r="F864" t="inlineStr">
        <is>
          <t>KRONOBERGS LÄN</t>
        </is>
      </c>
      <c r="G864" t="inlineStr">
        <is>
          <t>VÄXJÖ</t>
        </is>
      </c>
      <c r="I864" t="n">
        <v>2.4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s="2" t="inlineStr"/>
    </row>
    <row r="865" ht="15" customHeight="1">
      <c r="A865" t="inlineStr">
        <is>
          <t>A 33015-2026</t>
        </is>
      </c>
      <c r="B865" t="inlineStr">
        <is>
          <t>avverkningsanmälan</t>
        </is>
      </c>
      <c r="C865" t="inlineStr">
        <is>
          <t>Föryngringsavverkning</t>
        </is>
      </c>
      <c r="D865" s="1" t="n">
        <v>46244</v>
      </c>
      <c r="E865" s="1" t="n">
        <v>46314</v>
      </c>
      <c r="F865" t="inlineStr">
        <is>
          <t>KRONOBERGS LÄN</t>
        </is>
      </c>
      <c r="G865" t="inlineStr">
        <is>
          <t>VÄXJÖ</t>
        </is>
      </c>
      <c r="I865" t="n">
        <v>1.7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s="2" t="inlineStr"/>
    </row>
    <row r="866" ht="15" customHeight="1">
      <c r="A866" t="inlineStr">
        <is>
          <t>A 57041-2023</t>
        </is>
      </c>
      <c r="B866" t="inlineStr">
        <is>
          <t>avverkningsanmälan</t>
        </is>
      </c>
      <c r="C866" t="inlineStr">
        <is>
          <t>Föryngringsavverkning</t>
        </is>
      </c>
      <c r="D866" s="1" t="n">
        <v>45244</v>
      </c>
      <c r="E866" s="1" t="n">
        <v>46314</v>
      </c>
      <c r="F866" t="inlineStr">
        <is>
          <t>KRONOBERGS LÄN</t>
        </is>
      </c>
      <c r="G866" t="inlineStr">
        <is>
          <t>VÄXJÖ</t>
        </is>
      </c>
      <c r="I866" t="n">
        <v>1.2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s="2" t="inlineStr"/>
    </row>
    <row r="867" ht="15" customHeight="1">
      <c r="A867" t="inlineStr">
        <is>
          <t>A 54256-2023</t>
        </is>
      </c>
      <c r="B867" t="inlineStr">
        <is>
          <t>avverkningsanmälan</t>
        </is>
      </c>
      <c r="C867" t="inlineStr">
        <is>
          <t>Föryngringsavverkning</t>
        </is>
      </c>
      <c r="D867" s="1" t="n">
        <v>45232</v>
      </c>
      <c r="E867" s="1" t="n">
        <v>46314</v>
      </c>
      <c r="F867" t="inlineStr">
        <is>
          <t>KRONOBERGS LÄN</t>
        </is>
      </c>
      <c r="G867" t="inlineStr">
        <is>
          <t>VÄXJÖ</t>
        </is>
      </c>
      <c r="I867" t="n">
        <v>1.8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s="2" t="inlineStr"/>
    </row>
    <row r="868" ht="15" customHeight="1">
      <c r="A868" t="inlineStr">
        <is>
          <t>A 33002-2026</t>
        </is>
      </c>
      <c r="B868" t="inlineStr">
        <is>
          <t>avverkningsanmälan</t>
        </is>
      </c>
      <c r="C868" t="inlineStr">
        <is>
          <t>Föryngringsavverkning</t>
        </is>
      </c>
      <c r="D868" s="1" t="n">
        <v>46244</v>
      </c>
      <c r="E868" s="1" t="n">
        <v>46314</v>
      </c>
      <c r="F868" t="inlineStr">
        <is>
          <t>KRONOBERGS LÄN</t>
        </is>
      </c>
      <c r="G868" t="inlineStr">
        <is>
          <t>VÄXJÖ</t>
        </is>
      </c>
      <c r="H868" t="inlineStr">
        <is>
          <t>Kyrkan</t>
        </is>
      </c>
      <c r="I868" t="n">
        <v>3.8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s="2" t="inlineStr"/>
    </row>
    <row r="869" ht="15" customHeight="1">
      <c r="A869" t="inlineStr">
        <is>
          <t>A 33005-2026</t>
        </is>
      </c>
      <c r="B869" t="inlineStr">
        <is>
          <t>avverkningsanmälan</t>
        </is>
      </c>
      <c r="C869" t="inlineStr">
        <is>
          <t>Föryngringsavverkning</t>
        </is>
      </c>
      <c r="D869" s="1" t="n">
        <v>46244</v>
      </c>
      <c r="E869" s="1" t="n">
        <v>46314</v>
      </c>
      <c r="F869" t="inlineStr">
        <is>
          <t>KRONOBERGS LÄN</t>
        </is>
      </c>
      <c r="G869" t="inlineStr">
        <is>
          <t>VÄXJÖ</t>
        </is>
      </c>
      <c r="H869" t="inlineStr">
        <is>
          <t>Kyrkan</t>
        </is>
      </c>
      <c r="I869" t="n">
        <v>5.5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s="2" t="inlineStr"/>
    </row>
    <row r="870" ht="15" customHeight="1">
      <c r="A870" t="inlineStr">
        <is>
          <t>A 33084-2026</t>
        </is>
      </c>
      <c r="B870" t="inlineStr">
        <is>
          <t>avverkningsanmälan</t>
        </is>
      </c>
      <c r="C870" t="inlineStr">
        <is>
          <t>Föryngringsavverkning</t>
        </is>
      </c>
      <c r="D870" s="1" t="n">
        <v>46244</v>
      </c>
      <c r="E870" s="1" t="n">
        <v>46314</v>
      </c>
      <c r="F870" t="inlineStr">
        <is>
          <t>KRONOBERGS LÄN</t>
        </is>
      </c>
      <c r="G870" t="inlineStr">
        <is>
          <t>VÄXJÖ</t>
        </is>
      </c>
      <c r="I870" t="n">
        <v>5.9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s="2" t="inlineStr"/>
    </row>
    <row r="871" ht="15" customHeight="1">
      <c r="A871" t="inlineStr">
        <is>
          <t>A 7720-2025</t>
        </is>
      </c>
      <c r="B871" t="inlineStr">
        <is>
          <t>avverkningsanmälan</t>
        </is>
      </c>
      <c r="C871" t="inlineStr">
        <is>
          <t>Föryngringsavverkning</t>
        </is>
      </c>
      <c r="D871" s="1" t="n">
        <v>45705</v>
      </c>
      <c r="E871" s="1" t="n">
        <v>46314</v>
      </c>
      <c r="F871" t="inlineStr">
        <is>
          <t>KRONOBERGS LÄN</t>
        </is>
      </c>
      <c r="G871" t="inlineStr">
        <is>
          <t>VÄXJÖ</t>
        </is>
      </c>
      <c r="H871" t="inlineStr">
        <is>
          <t>Kyrkan</t>
        </is>
      </c>
      <c r="I871" t="n">
        <v>1.2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s="2" t="inlineStr"/>
    </row>
    <row r="872" ht="15" customHeight="1">
      <c r="A872" t="inlineStr">
        <is>
          <t>A 24019-2023</t>
        </is>
      </c>
      <c r="B872" t="inlineStr">
        <is>
          <t>avverkningsanmälan</t>
        </is>
      </c>
      <c r="C872" t="inlineStr">
        <is>
          <t>Avverkning för att bevara och utveckla /försöksver</t>
        </is>
      </c>
      <c r="D872" s="1" t="n">
        <v>45078</v>
      </c>
      <c r="E872" s="1" t="n">
        <v>46314</v>
      </c>
      <c r="F872" t="inlineStr">
        <is>
          <t>KRONOBERGS LÄN</t>
        </is>
      </c>
      <c r="G872" t="inlineStr">
        <is>
          <t>VÄXJÖ</t>
        </is>
      </c>
      <c r="H872" t="inlineStr">
        <is>
          <t>Sveaskog</t>
        </is>
      </c>
      <c r="I872" t="n">
        <v>2.8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s="2" t="inlineStr"/>
    </row>
    <row r="873" ht="15" customHeight="1">
      <c r="A873" t="inlineStr">
        <is>
          <t>A 13840-2025</t>
        </is>
      </c>
      <c r="B873" t="inlineStr">
        <is>
          <t>avverkningsanmälan</t>
        </is>
      </c>
      <c r="C873" t="inlineStr">
        <is>
          <t>Föryngringsavverkning</t>
        </is>
      </c>
      <c r="D873" s="1" t="n">
        <v>45737</v>
      </c>
      <c r="E873" s="1" t="n">
        <v>46314</v>
      </c>
      <c r="F873" t="inlineStr">
        <is>
          <t>KRONOBERGS LÄN</t>
        </is>
      </c>
      <c r="G873" t="inlineStr">
        <is>
          <t>VÄXJÖ</t>
        </is>
      </c>
      <c r="I873" t="n">
        <v>4.2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s="2" t="inlineStr"/>
    </row>
    <row r="874" ht="15" customHeight="1">
      <c r="A874" t="inlineStr">
        <is>
          <t>A 33098-2026</t>
        </is>
      </c>
      <c r="B874" t="inlineStr">
        <is>
          <t>avverkningsanmälan</t>
        </is>
      </c>
      <c r="C874" t="inlineStr">
        <is>
          <t>Föryngringsavverkning</t>
        </is>
      </c>
      <c r="D874" s="1" t="n">
        <v>46244</v>
      </c>
      <c r="E874" s="1" t="n">
        <v>46314</v>
      </c>
      <c r="F874" t="inlineStr">
        <is>
          <t>KRONOBERGS LÄN</t>
        </is>
      </c>
      <c r="G874" t="inlineStr">
        <is>
          <t>VÄXJÖ</t>
        </is>
      </c>
      <c r="H874" t="inlineStr">
        <is>
          <t>Kyrkan</t>
        </is>
      </c>
      <c r="I874" t="n">
        <v>4.2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s="2" t="inlineStr"/>
    </row>
    <row r="875" ht="15" customHeight="1">
      <c r="A875" t="inlineStr">
        <is>
          <t>A 33123-2026</t>
        </is>
      </c>
      <c r="B875" t="inlineStr">
        <is>
          <t>avverkningsanmälan</t>
        </is>
      </c>
      <c r="C875" t="inlineStr">
        <is>
          <t>Föryngringsavverkning</t>
        </is>
      </c>
      <c r="D875" s="1" t="n">
        <v>46244</v>
      </c>
      <c r="E875" s="1" t="n">
        <v>46314</v>
      </c>
      <c r="F875" t="inlineStr">
        <is>
          <t>KRONOBERGS LÄN</t>
        </is>
      </c>
      <c r="G875" t="inlineStr">
        <is>
          <t>VÄXJÖ</t>
        </is>
      </c>
      <c r="H875" t="inlineStr">
        <is>
          <t>Kyrkan</t>
        </is>
      </c>
      <c r="I875" t="n">
        <v>1.5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s="2" t="inlineStr"/>
    </row>
    <row r="876" ht="15" customHeight="1">
      <c r="A876" t="inlineStr">
        <is>
          <t>A 29984-2023</t>
        </is>
      </c>
      <c r="B876" t="inlineStr">
        <is>
          <t>avverkningsanmälan</t>
        </is>
      </c>
      <c r="C876" t="inlineStr">
        <is>
          <t>Föryngringsavverkning</t>
        </is>
      </c>
      <c r="D876" s="1" t="n">
        <v>45108</v>
      </c>
      <c r="E876" s="1" t="n">
        <v>46314</v>
      </c>
      <c r="F876" t="inlineStr">
        <is>
          <t>KRONOBERGS LÄN</t>
        </is>
      </c>
      <c r="G876" t="inlineStr">
        <is>
          <t>VÄXJÖ</t>
        </is>
      </c>
      <c r="I876" t="n">
        <v>2.5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s="2" t="inlineStr"/>
    </row>
    <row r="877" ht="15" customHeight="1">
      <c r="A877" t="inlineStr">
        <is>
          <t>A 33128-2026</t>
        </is>
      </c>
      <c r="B877" t="inlineStr">
        <is>
          <t>avverkningsanmälan</t>
        </is>
      </c>
      <c r="C877" t="inlineStr">
        <is>
          <t>Föryngringsavverkning</t>
        </is>
      </c>
      <c r="D877" s="1" t="n">
        <v>46244</v>
      </c>
      <c r="E877" s="1" t="n">
        <v>46314</v>
      </c>
      <c r="F877" t="inlineStr">
        <is>
          <t>KRONOBERGS LÄN</t>
        </is>
      </c>
      <c r="G877" t="inlineStr">
        <is>
          <t>VÄXJÖ</t>
        </is>
      </c>
      <c r="H877" t="inlineStr">
        <is>
          <t>Kyrkan</t>
        </is>
      </c>
      <c r="I877" t="n">
        <v>0.6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s="2" t="inlineStr"/>
    </row>
    <row r="878" ht="15" customHeight="1">
      <c r="A878" t="inlineStr">
        <is>
          <t>A 28801-2022</t>
        </is>
      </c>
      <c r="B878" t="inlineStr">
        <is>
          <t>avverkningsanmälan</t>
        </is>
      </c>
      <c r="C878" t="inlineStr">
        <is>
          <t>Föryngringsavverkning</t>
        </is>
      </c>
      <c r="D878" s="1" t="n">
        <v>44749</v>
      </c>
      <c r="E878" s="1" t="n">
        <v>46314</v>
      </c>
      <c r="F878" t="inlineStr">
        <is>
          <t>KRONOBERGS LÄN</t>
        </is>
      </c>
      <c r="G878" t="inlineStr">
        <is>
          <t>VÄXJÖ</t>
        </is>
      </c>
      <c r="I878" t="n">
        <v>3.9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s="2" t="inlineStr"/>
    </row>
    <row r="879" ht="15" customHeight="1">
      <c r="A879" t="inlineStr">
        <is>
          <t>A 33121-2026</t>
        </is>
      </c>
      <c r="B879" t="inlineStr">
        <is>
          <t>avverkningsanmälan</t>
        </is>
      </c>
      <c r="C879" t="inlineStr">
        <is>
          <t>Föryngringsavverkning</t>
        </is>
      </c>
      <c r="D879" s="1" t="n">
        <v>46244</v>
      </c>
      <c r="E879" s="1" t="n">
        <v>46314</v>
      </c>
      <c r="F879" t="inlineStr">
        <is>
          <t>KRONOBERGS LÄN</t>
        </is>
      </c>
      <c r="G879" t="inlineStr">
        <is>
          <t>VÄXJÖ</t>
        </is>
      </c>
      <c r="H879" t="inlineStr">
        <is>
          <t>Kyrkan</t>
        </is>
      </c>
      <c r="I879" t="n">
        <v>2.7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s="2" t="inlineStr"/>
    </row>
    <row r="880" ht="15" customHeight="1">
      <c r="A880" t="inlineStr">
        <is>
          <t>A 26139-2024</t>
        </is>
      </c>
      <c r="B880" t="inlineStr">
        <is>
          <t>avverkningsanmälan</t>
        </is>
      </c>
      <c r="C880" t="inlineStr">
        <is>
          <t>Föryngringsavverkning</t>
        </is>
      </c>
      <c r="D880" s="1" t="n">
        <v>45468</v>
      </c>
      <c r="E880" s="1" t="n">
        <v>46314</v>
      </c>
      <c r="F880" t="inlineStr">
        <is>
          <t>KRONOBERGS LÄN</t>
        </is>
      </c>
      <c r="G880" t="inlineStr">
        <is>
          <t>VÄXJÖ</t>
        </is>
      </c>
      <c r="I880" t="n">
        <v>12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s="2" t="inlineStr"/>
    </row>
    <row r="881" ht="15" customHeight="1">
      <c r="A881" t="inlineStr">
        <is>
          <t>A 33206-2023</t>
        </is>
      </c>
      <c r="B881" t="inlineStr">
        <is>
          <t>avverkningsanmälan</t>
        </is>
      </c>
      <c r="C881" t="inlineStr">
        <is>
          <t>Föryngringsavverkning</t>
        </is>
      </c>
      <c r="D881" s="1" t="n">
        <v>45127</v>
      </c>
      <c r="E881" s="1" t="n">
        <v>46314</v>
      </c>
      <c r="F881" t="inlineStr">
        <is>
          <t>KRONOBERGS LÄN</t>
        </is>
      </c>
      <c r="G881" t="inlineStr">
        <is>
          <t>VÄXJÖ</t>
        </is>
      </c>
      <c r="I881" t="n">
        <v>2.5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s="2" t="inlineStr"/>
    </row>
    <row r="882" ht="15" customHeight="1">
      <c r="A882" t="inlineStr">
        <is>
          <t>A 39412-2026</t>
        </is>
      </c>
      <c r="B882" t="inlineStr">
        <is>
          <t>avverkningsanmälan</t>
        </is>
      </c>
      <c r="C882" t="inlineStr">
        <is>
          <t>Föryngringsavverkning</t>
        </is>
      </c>
      <c r="D882" s="1" t="n">
        <v>46288</v>
      </c>
      <c r="E882" s="1" t="n">
        <v>46314</v>
      </c>
      <c r="F882" t="inlineStr">
        <is>
          <t>KRONOBERGS LÄN</t>
        </is>
      </c>
      <c r="G882" t="inlineStr">
        <is>
          <t>VÄXJÖ</t>
        </is>
      </c>
      <c r="I882" t="n">
        <v>3.2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s="2" t="inlineStr"/>
    </row>
    <row r="883" ht="15" customHeight="1">
      <c r="A883" t="inlineStr">
        <is>
          <t>A 33093-2026</t>
        </is>
      </c>
      <c r="B883" t="inlineStr">
        <is>
          <t>avverkningsanmälan</t>
        </is>
      </c>
      <c r="C883" t="inlineStr">
        <is>
          <t>Föryngringsavverkning</t>
        </is>
      </c>
      <c r="D883" s="1" t="n">
        <v>46245</v>
      </c>
      <c r="E883" s="1" t="n">
        <v>46314</v>
      </c>
      <c r="F883" t="inlineStr">
        <is>
          <t>KRONOBERGS LÄN</t>
        </is>
      </c>
      <c r="G883" t="inlineStr">
        <is>
          <t>VÄXJÖ</t>
        </is>
      </c>
      <c r="I883" t="n">
        <v>2.1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s="2" t="inlineStr"/>
    </row>
    <row r="884" ht="15" customHeight="1">
      <c r="A884" t="inlineStr">
        <is>
          <t>A 63102-2023</t>
        </is>
      </c>
      <c r="B884" t="inlineStr">
        <is>
          <t>avverkningsanmälan</t>
        </is>
      </c>
      <c r="C884" t="inlineStr">
        <is>
          <t>Föryngringsavverkning</t>
        </is>
      </c>
      <c r="D884" s="1" t="n">
        <v>45273</v>
      </c>
      <c r="E884" s="1" t="n">
        <v>46314</v>
      </c>
      <c r="F884" t="inlineStr">
        <is>
          <t>KRONOBERGS LÄN</t>
        </is>
      </c>
      <c r="G884" t="inlineStr">
        <is>
          <t>VÄXJÖ</t>
        </is>
      </c>
      <c r="I884" t="n">
        <v>1.4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s="2" t="inlineStr"/>
    </row>
    <row r="885" ht="15" customHeight="1">
      <c r="A885" t="inlineStr">
        <is>
          <t>A 33129-2026</t>
        </is>
      </c>
      <c r="B885" t="inlineStr">
        <is>
          <t>avverkningsanmälan</t>
        </is>
      </c>
      <c r="C885" t="inlineStr">
        <is>
          <t>Föryngringsavverkning</t>
        </is>
      </c>
      <c r="D885" s="1" t="n">
        <v>46245</v>
      </c>
      <c r="E885" s="1" t="n">
        <v>46314</v>
      </c>
      <c r="F885" t="inlineStr">
        <is>
          <t>KRONOBERGS LÄN</t>
        </is>
      </c>
      <c r="G885" t="inlineStr">
        <is>
          <t>VÄXJÖ</t>
        </is>
      </c>
      <c r="I885" t="n">
        <v>1.7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s="2" t="inlineStr"/>
    </row>
    <row r="886" ht="15" customHeight="1">
      <c r="A886" t="inlineStr">
        <is>
          <t>A 13977-2024</t>
        </is>
      </c>
      <c r="B886" t="inlineStr">
        <is>
          <t>avverkningsanmälan</t>
        </is>
      </c>
      <c r="C886" t="inlineStr">
        <is>
          <t>Föryngringsavverkning</t>
        </is>
      </c>
      <c r="D886" s="1" t="n">
        <v>45392</v>
      </c>
      <c r="E886" s="1" t="n">
        <v>46314</v>
      </c>
      <c r="F886" t="inlineStr">
        <is>
          <t>KRONOBERGS LÄN</t>
        </is>
      </c>
      <c r="G886" t="inlineStr">
        <is>
          <t>VÄXJÖ</t>
        </is>
      </c>
      <c r="H886" t="inlineStr">
        <is>
          <t>Sveaskog</t>
        </is>
      </c>
      <c r="I886" t="n">
        <v>1.6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s="2" t="inlineStr"/>
    </row>
    <row r="887" ht="15" customHeight="1">
      <c r="A887" t="inlineStr">
        <is>
          <t>A 52106-2024</t>
        </is>
      </c>
      <c r="B887" t="inlineStr">
        <is>
          <t>avverkningsanmälan</t>
        </is>
      </c>
      <c r="C887" t="inlineStr">
        <is>
          <t>Föryngringsavverkning</t>
        </is>
      </c>
      <c r="D887" s="1" t="n">
        <v>45608</v>
      </c>
      <c r="E887" s="1" t="n">
        <v>46314</v>
      </c>
      <c r="F887" t="inlineStr">
        <is>
          <t>KRONOBERGS LÄN</t>
        </is>
      </c>
      <c r="G887" t="inlineStr">
        <is>
          <t>VÄXJÖ</t>
        </is>
      </c>
      <c r="I887" t="n">
        <v>0.6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s="2" t="inlineStr"/>
    </row>
    <row r="888" ht="15" customHeight="1">
      <c r="A888" t="inlineStr">
        <is>
          <t>A 56952-2022</t>
        </is>
      </c>
      <c r="B888" t="inlineStr">
        <is>
          <t>avverkningsanmälan</t>
        </is>
      </c>
      <c r="C888" t="inlineStr">
        <is>
          <t>Föryngringsavverkning</t>
        </is>
      </c>
      <c r="D888" s="1" t="n">
        <v>44894</v>
      </c>
      <c r="E888" s="1" t="n">
        <v>46314</v>
      </c>
      <c r="F888" t="inlineStr">
        <is>
          <t>KRONOBERGS LÄN</t>
        </is>
      </c>
      <c r="G888" t="inlineStr">
        <is>
          <t>VÄXJÖ</t>
        </is>
      </c>
      <c r="I888" t="n">
        <v>1.8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s="2" t="inlineStr"/>
    </row>
    <row r="889" ht="15" customHeight="1">
      <c r="A889" t="inlineStr">
        <is>
          <t>A 39651-2026</t>
        </is>
      </c>
      <c r="B889" t="inlineStr">
        <is>
          <t>avverkningsanmälan</t>
        </is>
      </c>
      <c r="C889" t="inlineStr">
        <is>
          <t>Föryngringsavverkning</t>
        </is>
      </c>
      <c r="D889" s="1" t="n">
        <v>46289</v>
      </c>
      <c r="E889" s="1" t="n">
        <v>46314</v>
      </c>
      <c r="F889" t="inlineStr">
        <is>
          <t>KRONOBERGS LÄN</t>
        </is>
      </c>
      <c r="G889" t="inlineStr">
        <is>
          <t>VÄXJÖ</t>
        </is>
      </c>
      <c r="I889" t="n">
        <v>0.8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s="2" t="inlineStr"/>
    </row>
    <row r="890" ht="15" customHeight="1">
      <c r="A890" t="inlineStr">
        <is>
          <t>A 39652-2026</t>
        </is>
      </c>
      <c r="B890" t="inlineStr">
        <is>
          <t>avverkningsanmälan</t>
        </is>
      </c>
      <c r="C890" t="inlineStr">
        <is>
          <t>Föryngringsavverkning</t>
        </is>
      </c>
      <c r="D890" s="1" t="n">
        <v>46289</v>
      </c>
      <c r="E890" s="1" t="n">
        <v>46314</v>
      </c>
      <c r="F890" t="inlineStr">
        <is>
          <t>KRONOBERGS LÄN</t>
        </is>
      </c>
      <c r="G890" t="inlineStr">
        <is>
          <t>VÄXJÖ</t>
        </is>
      </c>
      <c r="I890" t="n">
        <v>0.9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s="2" t="inlineStr"/>
    </row>
    <row r="891" ht="15" customHeight="1">
      <c r="A891" t="inlineStr">
        <is>
          <t>A 39293-2026</t>
        </is>
      </c>
      <c r="B891" t="inlineStr">
        <is>
          <t>avverkningsanmälan</t>
        </is>
      </c>
      <c r="C891" t="inlineStr">
        <is>
          <t>Föryngringsavverkning</t>
        </is>
      </c>
      <c r="D891" s="1" t="n">
        <v>46288</v>
      </c>
      <c r="E891" s="1" t="n">
        <v>46314</v>
      </c>
      <c r="F891" t="inlineStr">
        <is>
          <t>KRONOBERGS LÄN</t>
        </is>
      </c>
      <c r="G891" t="inlineStr">
        <is>
          <t>VÄXJÖ</t>
        </is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s="2" t="inlineStr"/>
    </row>
    <row r="892" ht="15" customHeight="1">
      <c r="A892" t="inlineStr">
        <is>
          <t>A 17095-2022</t>
        </is>
      </c>
      <c r="B892" t="inlineStr">
        <is>
          <t>avverkningsanmälan</t>
        </is>
      </c>
      <c r="C892" t="inlineStr">
        <is>
          <t>Föryngringsavverkning</t>
        </is>
      </c>
      <c r="D892" s="1" t="n">
        <v>44677</v>
      </c>
      <c r="E892" s="1" t="n">
        <v>46314</v>
      </c>
      <c r="F892" t="inlineStr">
        <is>
          <t>KRONOBERGS LÄN</t>
        </is>
      </c>
      <c r="G892" t="inlineStr">
        <is>
          <t>VÄXJÖ</t>
        </is>
      </c>
      <c r="I892" t="n">
        <v>0.8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s="2" t="inlineStr"/>
    </row>
    <row r="893" ht="15" customHeight="1">
      <c r="A893" t="inlineStr">
        <is>
          <t>A 25461-2023</t>
        </is>
      </c>
      <c r="B893" t="inlineStr">
        <is>
          <t>avverkningsanmälan</t>
        </is>
      </c>
      <c r="C893" t="inlineStr">
        <is>
          <t>Föryngringsavverkning</t>
        </is>
      </c>
      <c r="D893" s="1" t="n">
        <v>45089</v>
      </c>
      <c r="E893" s="1" t="n">
        <v>46314</v>
      </c>
      <c r="F893" t="inlineStr">
        <is>
          <t>KRONOBERGS LÄN</t>
        </is>
      </c>
      <c r="G893" t="inlineStr">
        <is>
          <t>VÄXJÖ</t>
        </is>
      </c>
      <c r="I893" t="n">
        <v>3.5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s="2" t="inlineStr"/>
    </row>
    <row r="894" ht="15" customHeight="1">
      <c r="A894" t="inlineStr">
        <is>
          <t>A 54866-2023</t>
        </is>
      </c>
      <c r="B894" t="inlineStr">
        <is>
          <t>avverkningsanmälan</t>
        </is>
      </c>
      <c r="C894" t="inlineStr">
        <is>
          <t>Föryngringsavverkning</t>
        </is>
      </c>
      <c r="D894" s="1" t="n">
        <v>45236</v>
      </c>
      <c r="E894" s="1" t="n">
        <v>46314</v>
      </c>
      <c r="F894" t="inlineStr">
        <is>
          <t>KRONOBERGS LÄN</t>
        </is>
      </c>
      <c r="G894" t="inlineStr">
        <is>
          <t>VÄXJÖ</t>
        </is>
      </c>
      <c r="I894" t="n">
        <v>0.5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s="2" t="inlineStr"/>
    </row>
    <row r="895" ht="15" customHeight="1">
      <c r="A895" t="inlineStr">
        <is>
          <t>A 13975-2024</t>
        </is>
      </c>
      <c r="B895" t="inlineStr">
        <is>
          <t>avverkningsanmälan</t>
        </is>
      </c>
      <c r="C895" t="inlineStr">
        <is>
          <t>Föryngringsavverkning</t>
        </is>
      </c>
      <c r="D895" s="1" t="n">
        <v>45392</v>
      </c>
      <c r="E895" s="1" t="n">
        <v>46314</v>
      </c>
      <c r="F895" t="inlineStr">
        <is>
          <t>KRONOBERGS LÄN</t>
        </is>
      </c>
      <c r="G895" t="inlineStr">
        <is>
          <t>VÄXJÖ</t>
        </is>
      </c>
      <c r="H895" t="inlineStr">
        <is>
          <t>Sveaskog</t>
        </is>
      </c>
      <c r="I895" t="n">
        <v>0.6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s="2" t="inlineStr"/>
    </row>
    <row r="896" ht="15" customHeight="1">
      <c r="A896" t="inlineStr">
        <is>
          <t>A 33238-2026</t>
        </is>
      </c>
      <c r="B896" t="inlineStr">
        <is>
          <t>avverkningsanmälan</t>
        </is>
      </c>
      <c r="C896" t="inlineStr">
        <is>
          <t>Föryngringsavverkning</t>
        </is>
      </c>
      <c r="D896" s="1" t="n">
        <v>46246</v>
      </c>
      <c r="E896" s="1" t="n">
        <v>46314</v>
      </c>
      <c r="F896" t="inlineStr">
        <is>
          <t>KRONOBERGS LÄN</t>
        </is>
      </c>
      <c r="G896" t="inlineStr">
        <is>
          <t>VÄXJÖ</t>
        </is>
      </c>
      <c r="H896" t="inlineStr">
        <is>
          <t>Övriga Aktiebolag</t>
        </is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s="2" t="inlineStr"/>
    </row>
    <row r="897" ht="15" customHeight="1">
      <c r="A897" t="inlineStr">
        <is>
          <t>A 6786-2024</t>
        </is>
      </c>
      <c r="B897" t="inlineStr">
        <is>
          <t>avverkningsanmälan</t>
        </is>
      </c>
      <c r="C897" t="inlineStr">
        <is>
          <t>Föryngringsavverkning</t>
        </is>
      </c>
      <c r="D897" s="1" t="n">
        <v>45342</v>
      </c>
      <c r="E897" s="1" t="n">
        <v>46314</v>
      </c>
      <c r="F897" t="inlineStr">
        <is>
          <t>KRONOBERGS LÄN</t>
        </is>
      </c>
      <c r="G897" t="inlineStr">
        <is>
          <t>VÄXJÖ</t>
        </is>
      </c>
      <c r="I897" t="n">
        <v>0.8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s="2" t="inlineStr"/>
    </row>
    <row r="898" ht="15" customHeight="1">
      <c r="A898" t="inlineStr">
        <is>
          <t>A 44661-2023</t>
        </is>
      </c>
      <c r="B898" t="inlineStr">
        <is>
          <t>avverkningsanmälan</t>
        </is>
      </c>
      <c r="C898" t="inlineStr">
        <is>
          <t>Föryngringsavverkning</t>
        </is>
      </c>
      <c r="D898" s="1" t="n">
        <v>45189</v>
      </c>
      <c r="E898" s="1" t="n">
        <v>46314</v>
      </c>
      <c r="F898" t="inlineStr">
        <is>
          <t>KRONOBERGS LÄN</t>
        </is>
      </c>
      <c r="G898" t="inlineStr">
        <is>
          <t>VÄXJÖ</t>
        </is>
      </c>
      <c r="I898" t="n">
        <v>3.8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s="2" t="inlineStr"/>
    </row>
    <row r="899" ht="15" customHeight="1">
      <c r="A899" t="inlineStr">
        <is>
          <t>A 44663-2023</t>
        </is>
      </c>
      <c r="B899" t="inlineStr">
        <is>
          <t>avverkningsanmälan</t>
        </is>
      </c>
      <c r="C899" t="inlineStr">
        <is>
          <t>Föryngringsavverkning</t>
        </is>
      </c>
      <c r="D899" s="1" t="n">
        <v>45189</v>
      </c>
      <c r="E899" s="1" t="n">
        <v>46314</v>
      </c>
      <c r="F899" t="inlineStr">
        <is>
          <t>KRONOBERGS LÄN</t>
        </is>
      </c>
      <c r="G899" t="inlineStr">
        <is>
          <t>VÄXJÖ</t>
        </is>
      </c>
      <c r="I899" t="n">
        <v>0.6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s="2" t="inlineStr"/>
    </row>
    <row r="900" ht="15" customHeight="1">
      <c r="A900" t="inlineStr">
        <is>
          <t>A 60119-2022</t>
        </is>
      </c>
      <c r="B900" t="inlineStr">
        <is>
          <t>avverkningsanmälan</t>
        </is>
      </c>
      <c r="C900" t="inlineStr">
        <is>
          <t>Föryngringsavverkning</t>
        </is>
      </c>
      <c r="D900" s="1" t="n">
        <v>44909</v>
      </c>
      <c r="E900" s="1" t="n">
        <v>46314</v>
      </c>
      <c r="F900" t="inlineStr">
        <is>
          <t>KRONOBERGS LÄN</t>
        </is>
      </c>
      <c r="G900" t="inlineStr">
        <is>
          <t>VÄXJÖ</t>
        </is>
      </c>
      <c r="H900" t="inlineStr">
        <is>
          <t>Sveaskog</t>
        </is>
      </c>
      <c r="I900" t="n">
        <v>1.3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s="2" t="inlineStr"/>
    </row>
    <row r="901" ht="15" customHeight="1">
      <c r="A901" t="inlineStr">
        <is>
          <t>A 44737-2023</t>
        </is>
      </c>
      <c r="B901" t="inlineStr">
        <is>
          <t>avverkningsanmälan</t>
        </is>
      </c>
      <c r="C901" t="inlineStr">
        <is>
          <t>Föryngringsavverkning</t>
        </is>
      </c>
      <c r="D901" s="1" t="n">
        <v>45190</v>
      </c>
      <c r="E901" s="1" t="n">
        <v>46314</v>
      </c>
      <c r="F901" t="inlineStr">
        <is>
          <t>KRONOBERGS LÄN</t>
        </is>
      </c>
      <c r="G901" t="inlineStr">
        <is>
          <t>VÄXJÖ</t>
        </is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s="2" t="inlineStr"/>
    </row>
    <row r="902" ht="15" customHeight="1">
      <c r="A902" t="inlineStr">
        <is>
          <t>A 9357-2025</t>
        </is>
      </c>
      <c r="B902" t="inlineStr">
        <is>
          <t>avverkningsanmälan</t>
        </is>
      </c>
      <c r="C902" t="inlineStr">
        <is>
          <t>Föryngringsavverkning</t>
        </is>
      </c>
      <c r="D902" s="1" t="n">
        <v>45714</v>
      </c>
      <c r="E902" s="1" t="n">
        <v>46314</v>
      </c>
      <c r="F902" t="inlineStr">
        <is>
          <t>KRONOBERGS LÄN</t>
        </is>
      </c>
      <c r="G902" t="inlineStr">
        <is>
          <t>VÄXJÖ</t>
        </is>
      </c>
      <c r="I902" t="n">
        <v>0.5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s="2" t="inlineStr"/>
    </row>
    <row r="903" ht="15" customHeight="1">
      <c r="A903" t="inlineStr">
        <is>
          <t>A 6051-2022</t>
        </is>
      </c>
      <c r="B903" t="inlineStr">
        <is>
          <t>avverkningsanmälan</t>
        </is>
      </c>
      <c r="C903" t="inlineStr">
        <is>
          <t>Föryngringsavverkning</t>
        </is>
      </c>
      <c r="D903" s="1" t="n">
        <v>44599</v>
      </c>
      <c r="E903" s="1" t="n">
        <v>46314</v>
      </c>
      <c r="F903" t="inlineStr">
        <is>
          <t>KRONOBERGS LÄN</t>
        </is>
      </c>
      <c r="G903" t="inlineStr">
        <is>
          <t>VÄXJÖ</t>
        </is>
      </c>
      <c r="I903" t="n">
        <v>2.7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s="2" t="inlineStr"/>
    </row>
    <row r="904" ht="15" customHeight="1">
      <c r="A904" t="inlineStr">
        <is>
          <t>A 53522-2024</t>
        </is>
      </c>
      <c r="B904" t="inlineStr">
        <is>
          <t>avverkningsanmälan</t>
        </is>
      </c>
      <c r="C904" t="inlineStr">
        <is>
          <t>Föryngringsavverkning</t>
        </is>
      </c>
      <c r="D904" s="1" t="n">
        <v>45614</v>
      </c>
      <c r="E904" s="1" t="n">
        <v>46314</v>
      </c>
      <c r="F904" t="inlineStr">
        <is>
          <t>KRONOBERGS LÄN</t>
        </is>
      </c>
      <c r="G904" t="inlineStr">
        <is>
          <t>VÄXJÖ</t>
        </is>
      </c>
      <c r="I904" t="n">
        <v>0.8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s="2" t="inlineStr"/>
    </row>
    <row r="905" ht="15" customHeight="1">
      <c r="A905" t="inlineStr">
        <is>
          <t>A 6597-2026</t>
        </is>
      </c>
      <c r="B905" t="inlineStr">
        <is>
          <t>avverkningsanmälan</t>
        </is>
      </c>
      <c r="C905" t="inlineStr">
        <is>
          <t>Föryngringsavverkning</t>
        </is>
      </c>
      <c r="D905" s="1" t="n">
        <v>46056</v>
      </c>
      <c r="E905" s="1" t="n">
        <v>46314</v>
      </c>
      <c r="F905" t="inlineStr">
        <is>
          <t>KRONOBERGS LÄN</t>
        </is>
      </c>
      <c r="G905" t="inlineStr">
        <is>
          <t>VÄXJÖ</t>
        </is>
      </c>
      <c r="I905" t="n">
        <v>1.6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s="2" t="inlineStr"/>
    </row>
    <row r="906" ht="15" customHeight="1">
      <c r="A906" t="inlineStr">
        <is>
          <t>A 5288-2025</t>
        </is>
      </c>
      <c r="B906" t="inlineStr">
        <is>
          <t>avverkningsanmälan</t>
        </is>
      </c>
      <c r="C906" t="inlineStr">
        <is>
          <t>Föryngringsavverkning</t>
        </is>
      </c>
      <c r="D906" s="1" t="n">
        <v>45692</v>
      </c>
      <c r="E906" s="1" t="n">
        <v>46314</v>
      </c>
      <c r="F906" t="inlineStr">
        <is>
          <t>KRONOBERGS LÄN</t>
        </is>
      </c>
      <c r="G906" t="inlineStr">
        <is>
          <t>VÄXJÖ</t>
        </is>
      </c>
      <c r="I906" t="n">
        <v>0.6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s="2" t="inlineStr"/>
    </row>
    <row r="907" ht="15" customHeight="1">
      <c r="A907" t="inlineStr">
        <is>
          <t>A 12845-2024</t>
        </is>
      </c>
      <c r="B907" t="inlineStr">
        <is>
          <t>avverkningsanmälan</t>
        </is>
      </c>
      <c r="C907" t="inlineStr">
        <is>
          <t>Föryngringsavverkning</t>
        </is>
      </c>
      <c r="D907" s="1" t="n">
        <v>45384</v>
      </c>
      <c r="E907" s="1" t="n">
        <v>46314</v>
      </c>
      <c r="F907" t="inlineStr">
        <is>
          <t>KRONOBERGS LÄN</t>
        </is>
      </c>
      <c r="G907" t="inlineStr">
        <is>
          <t>VÄXJÖ</t>
        </is>
      </c>
      <c r="I907" t="n">
        <v>1.5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s="2" t="inlineStr"/>
    </row>
    <row r="908" ht="15" customHeight="1">
      <c r="A908" t="inlineStr">
        <is>
          <t>A 22736-2024</t>
        </is>
      </c>
      <c r="B908" t="inlineStr">
        <is>
          <t>avverkningsanmälan</t>
        </is>
      </c>
      <c r="C908" t="inlineStr">
        <is>
          <t>Föryngringsavverkning</t>
        </is>
      </c>
      <c r="D908" s="1" t="n">
        <v>45448</v>
      </c>
      <c r="E908" s="1" t="n">
        <v>46314</v>
      </c>
      <c r="F908" t="inlineStr">
        <is>
          <t>KRONOBERGS LÄN</t>
        </is>
      </c>
      <c r="G908" t="inlineStr">
        <is>
          <t>VÄXJÖ</t>
        </is>
      </c>
      <c r="I908" t="n">
        <v>0.9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s="2" t="inlineStr"/>
    </row>
    <row r="909" ht="15" customHeight="1">
      <c r="A909" t="inlineStr">
        <is>
          <t>A 153-2024</t>
        </is>
      </c>
      <c r="B909" t="inlineStr">
        <is>
          <t>avverkningsanmälan</t>
        </is>
      </c>
      <c r="C909" t="inlineStr">
        <is>
          <t>Avverkning för annat ändamål</t>
        </is>
      </c>
      <c r="D909" s="1" t="n">
        <v>45294</v>
      </c>
      <c r="E909" s="1" t="n">
        <v>46314</v>
      </c>
      <c r="F909" t="inlineStr">
        <is>
          <t>KRONOBERGS LÄN</t>
        </is>
      </c>
      <c r="G909" t="inlineStr">
        <is>
          <t>VÄXJÖ</t>
        </is>
      </c>
      <c r="I909" t="n">
        <v>1.1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s="2" t="inlineStr"/>
    </row>
    <row r="910" ht="15" customHeight="1">
      <c r="A910" t="inlineStr">
        <is>
          <t>A 51224-2023</t>
        </is>
      </c>
      <c r="B910" t="inlineStr">
        <is>
          <t>avverkningsanmälan</t>
        </is>
      </c>
      <c r="C910" t="inlineStr">
        <is>
          <t>Föryngringsavverkning</t>
        </is>
      </c>
      <c r="D910" s="1" t="n">
        <v>45219</v>
      </c>
      <c r="E910" s="1" t="n">
        <v>46314</v>
      </c>
      <c r="F910" t="inlineStr">
        <is>
          <t>KRONOBERGS LÄN</t>
        </is>
      </c>
      <c r="G910" t="inlineStr">
        <is>
          <t>VÄXJÖ</t>
        </is>
      </c>
      <c r="I910" t="n">
        <v>0.1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s="2" t="inlineStr"/>
    </row>
    <row r="911" ht="15" customHeight="1">
      <c r="A911" t="inlineStr">
        <is>
          <t>A 35546-2023</t>
        </is>
      </c>
      <c r="B911" t="inlineStr">
        <is>
          <t>avverkningsanmälan</t>
        </is>
      </c>
      <c r="C911" t="inlineStr">
        <is>
          <t>Föryngringsavverkning</t>
        </is>
      </c>
      <c r="D911" s="1" t="n">
        <v>45147</v>
      </c>
      <c r="E911" s="1" t="n">
        <v>46314</v>
      </c>
      <c r="F911" t="inlineStr">
        <is>
          <t>KRONOBERGS LÄN</t>
        </is>
      </c>
      <c r="G911" t="inlineStr">
        <is>
          <t>VÄXJÖ</t>
        </is>
      </c>
      <c r="I911" t="n">
        <v>2.5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s="2" t="inlineStr"/>
    </row>
    <row r="912" ht="15" customHeight="1">
      <c r="A912" t="inlineStr">
        <is>
          <t>A 70401-2021</t>
        </is>
      </c>
      <c r="B912" t="inlineStr">
        <is>
          <t>avverkningsanmälan</t>
        </is>
      </c>
      <c r="C912" t="inlineStr">
        <is>
          <t>Föryngringsavverkning</t>
        </is>
      </c>
      <c r="D912" s="1" t="n">
        <v>44536</v>
      </c>
      <c r="E912" s="1" t="n">
        <v>46314</v>
      </c>
      <c r="F912" t="inlineStr">
        <is>
          <t>KRONOBERGS LÄN</t>
        </is>
      </c>
      <c r="G912" t="inlineStr">
        <is>
          <t>VÄXJÖ</t>
        </is>
      </c>
      <c r="I912" t="n">
        <v>1.5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s="2" t="inlineStr"/>
    </row>
    <row r="913" ht="15" customHeight="1">
      <c r="A913" t="inlineStr">
        <is>
          <t>A 64083-2025</t>
        </is>
      </c>
      <c r="B913" t="inlineStr">
        <is>
          <t>avverkningsanmälan</t>
        </is>
      </c>
      <c r="C913" t="inlineStr">
        <is>
          <t>Föryngringsavverkning</t>
        </is>
      </c>
      <c r="D913" s="1" t="n">
        <v>46021</v>
      </c>
      <c r="E913" s="1" t="n">
        <v>46314</v>
      </c>
      <c r="F913" t="inlineStr">
        <is>
          <t>KRONOBERGS LÄN</t>
        </is>
      </c>
      <c r="G913" t="inlineStr">
        <is>
          <t>VÄXJÖ</t>
        </is>
      </c>
      <c r="I913" t="n">
        <v>0.8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s="2" t="inlineStr"/>
    </row>
    <row r="914" ht="15" customHeight="1">
      <c r="A914" t="inlineStr">
        <is>
          <t>A 25569-2022</t>
        </is>
      </c>
      <c r="B914" t="inlineStr">
        <is>
          <t>avverkningsanmälan</t>
        </is>
      </c>
      <c r="C914" t="inlineStr">
        <is>
          <t>Föryngringsavverkning</t>
        </is>
      </c>
      <c r="D914" s="1" t="n">
        <v>44732</v>
      </c>
      <c r="E914" s="1" t="n">
        <v>46314</v>
      </c>
      <c r="F914" t="inlineStr">
        <is>
          <t>KRONOBERGS LÄN</t>
        </is>
      </c>
      <c r="G914" t="inlineStr">
        <is>
          <t>VÄXJÖ</t>
        </is>
      </c>
      <c r="I914" t="n">
        <v>5.9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s="2" t="inlineStr"/>
    </row>
    <row r="915" ht="15" customHeight="1">
      <c r="A915" t="inlineStr">
        <is>
          <t>A 40565-2026</t>
        </is>
      </c>
      <c r="B915" t="inlineStr">
        <is>
          <t>avverkningsanmälan</t>
        </is>
      </c>
      <c r="C915" t="inlineStr">
        <is>
          <t>Föryngringsavverkning</t>
        </is>
      </c>
      <c r="D915" s="1" t="n">
        <v>46295</v>
      </c>
      <c r="E915" s="1" t="n">
        <v>46314</v>
      </c>
      <c r="F915" t="inlineStr">
        <is>
          <t>KRONOBERGS LÄN</t>
        </is>
      </c>
      <c r="G915" t="inlineStr">
        <is>
          <t>VÄXJÖ</t>
        </is>
      </c>
      <c r="H915" t="inlineStr">
        <is>
          <t>Kyrkan</t>
        </is>
      </c>
      <c r="I915" t="n">
        <v>0.7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s="2" t="inlineStr"/>
    </row>
    <row r="916" ht="15" customHeight="1">
      <c r="A916" t="inlineStr">
        <is>
          <t>A 40395-2026</t>
        </is>
      </c>
      <c r="B916" t="inlineStr">
        <is>
          <t>avverkningsanmälan</t>
        </is>
      </c>
      <c r="C916" t="inlineStr">
        <is>
          <t>Föryngringsavverkning</t>
        </is>
      </c>
      <c r="D916" s="1" t="n">
        <v>46294</v>
      </c>
      <c r="E916" s="1" t="n">
        <v>46314</v>
      </c>
      <c r="F916" t="inlineStr">
        <is>
          <t>KRONOBERGS LÄN</t>
        </is>
      </c>
      <c r="G916" t="inlineStr">
        <is>
          <t>VÄXJÖ</t>
        </is>
      </c>
      <c r="I916" t="n">
        <v>1.6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s="2" t="inlineStr"/>
    </row>
    <row r="917" ht="15" customHeight="1">
      <c r="A917" t="inlineStr">
        <is>
          <t>A 33962-2026</t>
        </is>
      </c>
      <c r="B917" t="inlineStr">
        <is>
          <t>avverkningsanmälan</t>
        </is>
      </c>
      <c r="C917" t="inlineStr">
        <is>
          <t>Föryngringsavverkning</t>
        </is>
      </c>
      <c r="D917" s="1" t="n">
        <v>46252</v>
      </c>
      <c r="E917" s="1" t="n">
        <v>46314</v>
      </c>
      <c r="F917" t="inlineStr">
        <is>
          <t>KRONOBERGS LÄN</t>
        </is>
      </c>
      <c r="G917" t="inlineStr">
        <is>
          <t>VÄXJÖ</t>
        </is>
      </c>
      <c r="I917" t="n">
        <v>1.3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s="2" t="inlineStr"/>
    </row>
    <row r="918" ht="15" customHeight="1">
      <c r="A918" t="inlineStr">
        <is>
          <t>A 46565-2023</t>
        </is>
      </c>
      <c r="B918" t="inlineStr">
        <is>
          <t>avverkningsanmälan</t>
        </is>
      </c>
      <c r="C918" t="inlineStr">
        <is>
          <t>Föryngringsavverkning</t>
        </is>
      </c>
      <c r="D918" s="1" t="n">
        <v>45198</v>
      </c>
      <c r="E918" s="1" t="n">
        <v>46314</v>
      </c>
      <c r="F918" t="inlineStr">
        <is>
          <t>KRONOBERGS LÄN</t>
        </is>
      </c>
      <c r="G918" t="inlineStr">
        <is>
          <t>VÄXJÖ</t>
        </is>
      </c>
      <c r="I918" t="n">
        <v>1.1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s="2" t="inlineStr"/>
    </row>
    <row r="919" ht="15" customHeight="1">
      <c r="A919" t="inlineStr">
        <is>
          <t>A 40389-2026</t>
        </is>
      </c>
      <c r="B919" t="inlineStr">
        <is>
          <t>avverkningsanmälan</t>
        </is>
      </c>
      <c r="C919" t="inlineStr">
        <is>
          <t>Föryngringsavverkning</t>
        </is>
      </c>
      <c r="D919" s="1" t="n">
        <v>46294</v>
      </c>
      <c r="E919" s="1" t="n">
        <v>46314</v>
      </c>
      <c r="F919" t="inlineStr">
        <is>
          <t>KRONOBERGS LÄN</t>
        </is>
      </c>
      <c r="G919" t="inlineStr">
        <is>
          <t>VÄXJÖ</t>
        </is>
      </c>
      <c r="I919" t="n">
        <v>2.1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s="2" t="inlineStr"/>
    </row>
    <row r="920" ht="15" customHeight="1">
      <c r="A920" t="inlineStr">
        <is>
          <t>A 40341-2026</t>
        </is>
      </c>
      <c r="B920" t="inlineStr">
        <is>
          <t>avverkningsanmälan</t>
        </is>
      </c>
      <c r="C920" t="inlineStr">
        <is>
          <t>Föryngringsavverkning</t>
        </is>
      </c>
      <c r="D920" s="1" t="n">
        <v>46294</v>
      </c>
      <c r="E920" s="1" t="n">
        <v>46314</v>
      </c>
      <c r="F920" t="inlineStr">
        <is>
          <t>KRONOBERGS LÄN</t>
        </is>
      </c>
      <c r="G920" t="inlineStr">
        <is>
          <t>VÄXJÖ</t>
        </is>
      </c>
      <c r="I920" t="n">
        <v>2.8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s="2" t="inlineStr"/>
    </row>
    <row r="921" ht="15" customHeight="1">
      <c r="A921" t="inlineStr">
        <is>
          <t>A 40404-2026</t>
        </is>
      </c>
      <c r="B921" t="inlineStr">
        <is>
          <t>avverkningsanmälan</t>
        </is>
      </c>
      <c r="C921" t="inlineStr">
        <is>
          <t>Föryngringsavverkning</t>
        </is>
      </c>
      <c r="D921" s="1" t="n">
        <v>46294</v>
      </c>
      <c r="E921" s="1" t="n">
        <v>46314</v>
      </c>
      <c r="F921" t="inlineStr">
        <is>
          <t>KRONOBERGS LÄN</t>
        </is>
      </c>
      <c r="G921" t="inlineStr">
        <is>
          <t>VÄXJÖ</t>
        </is>
      </c>
      <c r="I921" t="n">
        <v>2.1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s="2" t="inlineStr"/>
    </row>
    <row r="922" ht="15" customHeight="1">
      <c r="A922" t="inlineStr">
        <is>
          <t>A 40444-2026</t>
        </is>
      </c>
      <c r="B922" t="inlineStr">
        <is>
          <t>avverkningsanmälan</t>
        </is>
      </c>
      <c r="C922" t="inlineStr">
        <is>
          <t>Föryngringsavverkning</t>
        </is>
      </c>
      <c r="D922" s="1" t="n">
        <v>46294</v>
      </c>
      <c r="E922" s="1" t="n">
        <v>46314</v>
      </c>
      <c r="F922" t="inlineStr">
        <is>
          <t>KRONOBERGS LÄN</t>
        </is>
      </c>
      <c r="G922" t="inlineStr">
        <is>
          <t>VÄXJÖ</t>
        </is>
      </c>
      <c r="I922" t="n">
        <v>0.5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s="2" t="inlineStr"/>
    </row>
    <row r="923" ht="15" customHeight="1">
      <c r="A923" t="inlineStr">
        <is>
          <t>A 40249-2026</t>
        </is>
      </c>
      <c r="B923" t="inlineStr">
        <is>
          <t>avverkningsanmälan</t>
        </is>
      </c>
      <c r="C923" t="inlineStr">
        <is>
          <t>Föryngringsavverkning</t>
        </is>
      </c>
      <c r="D923" s="1" t="n">
        <v>46294</v>
      </c>
      <c r="E923" s="1" t="n">
        <v>46314</v>
      </c>
      <c r="F923" t="inlineStr">
        <is>
          <t>KRONOBERGS LÄN</t>
        </is>
      </c>
      <c r="G923" t="inlineStr">
        <is>
          <t>VÄXJÖ</t>
        </is>
      </c>
      <c r="I923" t="n">
        <v>4.3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s="2" t="inlineStr"/>
    </row>
    <row r="924" ht="15" customHeight="1">
      <c r="A924" t="inlineStr">
        <is>
          <t>A 34202-2026</t>
        </is>
      </c>
      <c r="B924" t="inlineStr">
        <is>
          <t>avverkningsanmälan</t>
        </is>
      </c>
      <c r="C924" t="inlineStr">
        <is>
          <t>Föryngringsavverkning</t>
        </is>
      </c>
      <c r="D924" s="1" t="n">
        <v>46253</v>
      </c>
      <c r="E924" s="1" t="n">
        <v>46314</v>
      </c>
      <c r="F924" t="inlineStr">
        <is>
          <t>KRONOBERGS LÄN</t>
        </is>
      </c>
      <c r="G924" t="inlineStr">
        <is>
          <t>VÄXJÖ</t>
        </is>
      </c>
      <c r="I924" t="n">
        <v>1.5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s="2" t="inlineStr"/>
    </row>
    <row r="925" ht="15" customHeight="1">
      <c r="A925" t="inlineStr">
        <is>
          <t>A 32264-2026</t>
        </is>
      </c>
      <c r="B925" t="inlineStr">
        <is>
          <t>avverkningsanmälan</t>
        </is>
      </c>
      <c r="C925" t="inlineStr">
        <is>
          <t>Föryngringsavverkning</t>
        </is>
      </c>
      <c r="D925" s="1" t="n">
        <v>46237</v>
      </c>
      <c r="E925" s="1" t="n">
        <v>46314</v>
      </c>
      <c r="F925" t="inlineStr">
        <is>
          <t>KRONOBERGS LÄN</t>
        </is>
      </c>
      <c r="G925" t="inlineStr">
        <is>
          <t>VÄXJÖ</t>
        </is>
      </c>
      <c r="I925" t="n">
        <v>2.9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s="2" t="inlineStr"/>
    </row>
    <row r="926" ht="15" customHeight="1">
      <c r="A926" t="inlineStr">
        <is>
          <t>A 49002-2024</t>
        </is>
      </c>
      <c r="B926" t="inlineStr">
        <is>
          <t>avverkningsanmälan</t>
        </is>
      </c>
      <c r="C926" t="inlineStr">
        <is>
          <t>Föryngringsavverkning</t>
        </is>
      </c>
      <c r="D926" s="1" t="n">
        <v>45594</v>
      </c>
      <c r="E926" s="1" t="n">
        <v>46314</v>
      </c>
      <c r="F926" t="inlineStr">
        <is>
          <t>KRONOBERGS LÄN</t>
        </is>
      </c>
      <c r="G926" t="inlineStr">
        <is>
          <t>VÄXJÖ</t>
        </is>
      </c>
      <c r="H926" t="inlineStr">
        <is>
          <t>Sveaskog</t>
        </is>
      </c>
      <c r="I926" t="n">
        <v>0.9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s="2" t="inlineStr"/>
    </row>
    <row r="927" ht="15" customHeight="1">
      <c r="A927" t="inlineStr">
        <is>
          <t>A 60767-2024</t>
        </is>
      </c>
      <c r="B927" t="inlineStr">
        <is>
          <t>avverkningsanmälan</t>
        </is>
      </c>
      <c r="C927" t="inlineStr">
        <is>
          <t>Föryngringsavverkning</t>
        </is>
      </c>
      <c r="D927" s="1" t="n">
        <v>45644</v>
      </c>
      <c r="E927" s="1" t="n">
        <v>46314</v>
      </c>
      <c r="F927" t="inlineStr">
        <is>
          <t>KRONOBERGS LÄN</t>
        </is>
      </c>
      <c r="G927" t="inlineStr">
        <is>
          <t>VÄXJÖ</t>
        </is>
      </c>
      <c r="I927" t="n">
        <v>0.6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s="2" t="inlineStr"/>
    </row>
    <row r="928" ht="15" customHeight="1">
      <c r="A928" t="inlineStr">
        <is>
          <t>A 14686-2023</t>
        </is>
      </c>
      <c r="B928" t="inlineStr">
        <is>
          <t>avverkningsanmälan</t>
        </is>
      </c>
      <c r="C928" t="inlineStr">
        <is>
          <t>Föryngringsavverkning</t>
        </is>
      </c>
      <c r="D928" s="1" t="n">
        <v>45014</v>
      </c>
      <c r="E928" s="1" t="n">
        <v>46314</v>
      </c>
      <c r="F928" t="inlineStr">
        <is>
          <t>KRONOBERGS LÄN</t>
        </is>
      </c>
      <c r="G928" t="inlineStr">
        <is>
          <t>VÄXJÖ</t>
        </is>
      </c>
      <c r="H928" t="inlineStr">
        <is>
          <t>Sveaskog</t>
        </is>
      </c>
      <c r="I928" t="n">
        <v>1.9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s="2" t="inlineStr"/>
    </row>
    <row r="929" ht="15" customHeight="1">
      <c r="A929" t="inlineStr">
        <is>
          <t>A 57606-2022</t>
        </is>
      </c>
      <c r="B929" t="inlineStr">
        <is>
          <t>avverkningsanmälan</t>
        </is>
      </c>
      <c r="C929" t="inlineStr">
        <is>
          <t>Föryngringsavverkning</t>
        </is>
      </c>
      <c r="D929" s="1" t="n">
        <v>44897</v>
      </c>
      <c r="E929" s="1" t="n">
        <v>46314</v>
      </c>
      <c r="F929" t="inlineStr">
        <is>
          <t>KRONOBERGS LÄN</t>
        </is>
      </c>
      <c r="G929" t="inlineStr">
        <is>
          <t>VÄXJÖ</t>
        </is>
      </c>
      <c r="I929" t="n">
        <v>3.6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s="2" t="inlineStr"/>
    </row>
    <row r="930" ht="15" customHeight="1">
      <c r="A930" t="inlineStr">
        <is>
          <t>A 40738-2026</t>
        </is>
      </c>
      <c r="B930" t="inlineStr">
        <is>
          <t>avverkningsanmälan</t>
        </is>
      </c>
      <c r="C930" t="inlineStr">
        <is>
          <t>Föryngringsavverkning</t>
        </is>
      </c>
      <c r="D930" s="1" t="n">
        <v>46296</v>
      </c>
      <c r="E930" s="1" t="n">
        <v>46314</v>
      </c>
      <c r="F930" t="inlineStr">
        <is>
          <t>KRONOBERGS LÄN</t>
        </is>
      </c>
      <c r="G930" t="inlineStr">
        <is>
          <t>VÄXJÖ</t>
        </is>
      </c>
      <c r="I930" t="n">
        <v>0.5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s="2" t="inlineStr"/>
    </row>
    <row r="931" ht="15" customHeight="1">
      <c r="A931" t="inlineStr">
        <is>
          <t>A 40764-2026</t>
        </is>
      </c>
      <c r="B931" t="inlineStr">
        <is>
          <t>avverkningsanmälan</t>
        </is>
      </c>
      <c r="C931" t="inlineStr">
        <is>
          <t>Föryngringsavverkning</t>
        </is>
      </c>
      <c r="D931" s="1" t="n">
        <v>46296</v>
      </c>
      <c r="E931" s="1" t="n">
        <v>46314</v>
      </c>
      <c r="F931" t="inlineStr">
        <is>
          <t>KRONOBERGS LÄN</t>
        </is>
      </c>
      <c r="G931" t="inlineStr">
        <is>
          <t>VÄXJÖ</t>
        </is>
      </c>
      <c r="I931" t="n">
        <v>3.3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s="2" t="inlineStr"/>
    </row>
    <row r="932" ht="15" customHeight="1">
      <c r="A932" t="inlineStr">
        <is>
          <t>A 40767-2026</t>
        </is>
      </c>
      <c r="B932" t="inlineStr">
        <is>
          <t>avverkningsanmälan</t>
        </is>
      </c>
      <c r="C932" t="inlineStr">
        <is>
          <t>Föryngringsavverkning</t>
        </is>
      </c>
      <c r="D932" s="1" t="n">
        <v>46296</v>
      </c>
      <c r="E932" s="1" t="n">
        <v>46314</v>
      </c>
      <c r="F932" t="inlineStr">
        <is>
          <t>KRONOBERGS LÄN</t>
        </is>
      </c>
      <c r="G932" t="inlineStr">
        <is>
          <t>VÄXJÖ</t>
        </is>
      </c>
      <c r="I932" t="n">
        <v>0.7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s="2" t="inlineStr"/>
    </row>
    <row r="933" ht="15" customHeight="1">
      <c r="A933" t="inlineStr">
        <is>
          <t>A 14766-2023</t>
        </is>
      </c>
      <c r="B933" t="inlineStr">
        <is>
          <t>avverkningsanmälan</t>
        </is>
      </c>
      <c r="C933" t="inlineStr">
        <is>
          <t>Föryngringsavverkning</t>
        </is>
      </c>
      <c r="D933" s="1" t="n">
        <v>45014</v>
      </c>
      <c r="E933" s="1" t="n">
        <v>46314</v>
      </c>
      <c r="F933" t="inlineStr">
        <is>
          <t>KRONOBERGS LÄN</t>
        </is>
      </c>
      <c r="G933" t="inlineStr">
        <is>
          <t>VÄXJÖ</t>
        </is>
      </c>
      <c r="I933" t="n">
        <v>1.8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s="2" t="inlineStr"/>
    </row>
    <row r="934" ht="15" customHeight="1">
      <c r="A934" t="inlineStr">
        <is>
          <t>A 14989-2025</t>
        </is>
      </c>
      <c r="B934" t="inlineStr">
        <is>
          <t>avverkningsanmälan</t>
        </is>
      </c>
      <c r="C934" t="inlineStr">
        <is>
          <t>Avverkning för annat ändamål</t>
        </is>
      </c>
      <c r="D934" s="1" t="n">
        <v>45743</v>
      </c>
      <c r="E934" s="1" t="n">
        <v>46314</v>
      </c>
      <c r="F934" t="inlineStr">
        <is>
          <t>KRONOBERGS LÄN</t>
        </is>
      </c>
      <c r="G934" t="inlineStr">
        <is>
          <t>VÄXJÖ</t>
        </is>
      </c>
      <c r="I934" t="n">
        <v>0.7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s="2" t="inlineStr"/>
    </row>
    <row r="935" ht="15" customHeight="1">
      <c r="A935" t="inlineStr">
        <is>
          <t>A 40762-2026</t>
        </is>
      </c>
      <c r="B935" t="inlineStr">
        <is>
          <t>avverkningsanmälan</t>
        </is>
      </c>
      <c r="C935" t="inlineStr">
        <is>
          <t>Föryngringsavverkning</t>
        </is>
      </c>
      <c r="D935" s="1" t="n">
        <v>46296</v>
      </c>
      <c r="E935" s="1" t="n">
        <v>46314</v>
      </c>
      <c r="F935" t="inlineStr">
        <is>
          <t>KRONOBERGS LÄN</t>
        </is>
      </c>
      <c r="G935" t="inlineStr">
        <is>
          <t>VÄXJÖ</t>
        </is>
      </c>
      <c r="I935" t="n">
        <v>2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s="2" t="inlineStr"/>
    </row>
    <row r="936" ht="15" customHeight="1">
      <c r="A936" t="inlineStr">
        <is>
          <t>A 40740-2026</t>
        </is>
      </c>
      <c r="B936" t="inlineStr">
        <is>
          <t>avverkningsanmälan</t>
        </is>
      </c>
      <c r="C936" t="inlineStr">
        <is>
          <t>Föryngringsavverkning</t>
        </is>
      </c>
      <c r="D936" s="1" t="n">
        <v>46296</v>
      </c>
      <c r="E936" s="1" t="n">
        <v>46314</v>
      </c>
      <c r="F936" t="inlineStr">
        <is>
          <t>KRONOBERGS LÄN</t>
        </is>
      </c>
      <c r="G936" t="inlineStr">
        <is>
          <t>VÄXJÖ</t>
        </is>
      </c>
      <c r="I936" t="n">
        <v>0.6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s="2" t="inlineStr"/>
    </row>
    <row r="937" ht="15" customHeight="1">
      <c r="A937" t="inlineStr">
        <is>
          <t>A 33959-2026</t>
        </is>
      </c>
      <c r="B937" t="inlineStr">
        <is>
          <t>avverkningsanmälan</t>
        </is>
      </c>
      <c r="C937" t="inlineStr">
        <is>
          <t>Föryngringsavverkning</t>
        </is>
      </c>
      <c r="D937" s="1" t="n">
        <v>46252</v>
      </c>
      <c r="E937" s="1" t="n">
        <v>46314</v>
      </c>
      <c r="F937" t="inlineStr">
        <is>
          <t>KRONOBERGS LÄN</t>
        </is>
      </c>
      <c r="G937" t="inlineStr">
        <is>
          <t>VÄXJÖ</t>
        </is>
      </c>
      <c r="I937" t="n">
        <v>1.9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s="2" t="inlineStr"/>
    </row>
    <row r="938" ht="15" customHeight="1">
      <c r="A938" t="inlineStr">
        <is>
          <t>A 40686-2026</t>
        </is>
      </c>
      <c r="B938" t="inlineStr">
        <is>
          <t>avverkningsanmälan</t>
        </is>
      </c>
      <c r="C938" t="inlineStr">
        <is>
          <t>Föryngringsavverkning</t>
        </is>
      </c>
      <c r="D938" s="1" t="n">
        <v>46296</v>
      </c>
      <c r="E938" s="1" t="n">
        <v>46314</v>
      </c>
      <c r="F938" t="inlineStr">
        <is>
          <t>KRONOBERGS LÄN</t>
        </is>
      </c>
      <c r="G938" t="inlineStr">
        <is>
          <t>VÄXJÖ</t>
        </is>
      </c>
      <c r="I938" t="n">
        <v>2.6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s="2" t="inlineStr"/>
    </row>
    <row r="939" ht="15" customHeight="1">
      <c r="A939" t="inlineStr">
        <is>
          <t>A 40744-2026</t>
        </is>
      </c>
      <c r="B939" t="inlineStr">
        <is>
          <t>avverkningsanmälan</t>
        </is>
      </c>
      <c r="C939" t="inlineStr">
        <is>
          <t>Föryngringsavverkning</t>
        </is>
      </c>
      <c r="D939" s="1" t="n">
        <v>46296</v>
      </c>
      <c r="E939" s="1" t="n">
        <v>46314</v>
      </c>
      <c r="F939" t="inlineStr">
        <is>
          <t>KRONOBERGS LÄN</t>
        </is>
      </c>
      <c r="G939" t="inlineStr">
        <is>
          <t>VÄXJÖ</t>
        </is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s="2" t="inlineStr"/>
    </row>
    <row r="940" ht="15" customHeight="1">
      <c r="A940" t="inlineStr">
        <is>
          <t>A 36267-2024</t>
        </is>
      </c>
      <c r="B940" t="inlineStr">
        <is>
          <t>avverkningsanmälan</t>
        </is>
      </c>
      <c r="C940" t="inlineStr">
        <is>
          <t>Föryngringsavverkning</t>
        </is>
      </c>
      <c r="D940" s="1" t="n">
        <v>45534</v>
      </c>
      <c r="E940" s="1" t="n">
        <v>46314</v>
      </c>
      <c r="F940" t="inlineStr">
        <is>
          <t>KRONOBERGS LÄN</t>
        </is>
      </c>
      <c r="G940" t="inlineStr">
        <is>
          <t>VÄXJÖ</t>
        </is>
      </c>
      <c r="I940" t="n">
        <v>0.9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s="2" t="inlineStr"/>
    </row>
    <row r="941" ht="15" customHeight="1">
      <c r="A941" t="inlineStr">
        <is>
          <t>A 7154-2025</t>
        </is>
      </c>
      <c r="B941" t="inlineStr">
        <is>
          <t>avverkningsanmälan</t>
        </is>
      </c>
      <c r="C941" t="inlineStr">
        <is>
          <t>Föryngringsavverkning</t>
        </is>
      </c>
      <c r="D941" s="1" t="n">
        <v>45702</v>
      </c>
      <c r="E941" s="1" t="n">
        <v>46314</v>
      </c>
      <c r="F941" t="inlineStr">
        <is>
          <t>KRONOBERGS LÄN</t>
        </is>
      </c>
      <c r="G941" t="inlineStr">
        <is>
          <t>VÄXJÖ</t>
        </is>
      </c>
      <c r="I941" t="n">
        <v>0.6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s="2" t="inlineStr"/>
    </row>
    <row r="942" ht="15" customHeight="1">
      <c r="A942" t="inlineStr">
        <is>
          <t>A 51416-2023</t>
        </is>
      </c>
      <c r="B942" t="inlineStr">
        <is>
          <t>avverkningsanmälan</t>
        </is>
      </c>
      <c r="C942" t="inlineStr">
        <is>
          <t>Föryngringsavverkning</t>
        </is>
      </c>
      <c r="D942" s="1" t="n">
        <v>45219</v>
      </c>
      <c r="E942" s="1" t="n">
        <v>46314</v>
      </c>
      <c r="F942" t="inlineStr">
        <is>
          <t>KRONOBERGS LÄN</t>
        </is>
      </c>
      <c r="G942" t="inlineStr">
        <is>
          <t>VÄXJÖ</t>
        </is>
      </c>
      <c r="I942" t="n">
        <v>0.9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s="2" t="inlineStr"/>
    </row>
    <row r="943" ht="15" customHeight="1">
      <c r="A943" t="inlineStr">
        <is>
          <t>A 16948-2022</t>
        </is>
      </c>
      <c r="B943" t="inlineStr">
        <is>
          <t>avverkningsanmälan</t>
        </is>
      </c>
      <c r="C943" t="inlineStr">
        <is>
          <t>Föryngringsavverkning</t>
        </is>
      </c>
      <c r="D943" s="1" t="n">
        <v>44676</v>
      </c>
      <c r="E943" s="1" t="n">
        <v>46314</v>
      </c>
      <c r="F943" t="inlineStr">
        <is>
          <t>KRONOBERGS LÄN</t>
        </is>
      </c>
      <c r="G943" t="inlineStr">
        <is>
          <t>VÄXJÖ</t>
        </is>
      </c>
      <c r="H943" t="inlineStr">
        <is>
          <t>Sveaskog</t>
        </is>
      </c>
      <c r="I943" t="n">
        <v>0.8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s="2" t="inlineStr"/>
    </row>
    <row r="944" ht="15" customHeight="1">
      <c r="A944" t="inlineStr">
        <is>
          <t>A 32493-2023</t>
        </is>
      </c>
      <c r="B944" t="inlineStr">
        <is>
          <t>avverkningsanmälan</t>
        </is>
      </c>
      <c r="C944" t="inlineStr">
        <is>
          <t>Föryngringsavverkning</t>
        </is>
      </c>
      <c r="D944" s="1" t="n">
        <v>45121</v>
      </c>
      <c r="E944" s="1" t="n">
        <v>46314</v>
      </c>
      <c r="F944" t="inlineStr">
        <is>
          <t>KRONOBERGS LÄN</t>
        </is>
      </c>
      <c r="G944" t="inlineStr">
        <is>
          <t>VÄXJÖ</t>
        </is>
      </c>
      <c r="I944" t="n">
        <v>0.3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s="2" t="inlineStr"/>
    </row>
    <row r="945" ht="15" customHeight="1">
      <c r="A945" t="inlineStr">
        <is>
          <t>A 32495-2023</t>
        </is>
      </c>
      <c r="B945" t="inlineStr">
        <is>
          <t>avverkningsanmälan</t>
        </is>
      </c>
      <c r="C945" t="inlineStr">
        <is>
          <t>Föryngringsavverkning</t>
        </is>
      </c>
      <c r="D945" s="1" t="n">
        <v>45121</v>
      </c>
      <c r="E945" s="1" t="n">
        <v>46314</v>
      </c>
      <c r="F945" t="inlineStr">
        <is>
          <t>KRONOBERGS LÄN</t>
        </is>
      </c>
      <c r="G945" t="inlineStr">
        <is>
          <t>VÄXJÖ</t>
        </is>
      </c>
      <c r="I945" t="n">
        <v>2.3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s="2" t="inlineStr"/>
    </row>
    <row r="946" ht="15" customHeight="1">
      <c r="A946" t="inlineStr">
        <is>
          <t>A 32503-2023</t>
        </is>
      </c>
      <c r="B946" t="inlineStr">
        <is>
          <t>avverkningsanmälan</t>
        </is>
      </c>
      <c r="C946" t="inlineStr">
        <is>
          <t>Föryngringsavverkning</t>
        </is>
      </c>
      <c r="D946" s="1" t="n">
        <v>45121</v>
      </c>
      <c r="E946" s="1" t="n">
        <v>46314</v>
      </c>
      <c r="F946" t="inlineStr">
        <is>
          <t>KRONOBERGS LÄN</t>
        </is>
      </c>
      <c r="G946" t="inlineStr">
        <is>
          <t>VÄXJÖ</t>
        </is>
      </c>
      <c r="I946" t="n">
        <v>3.2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s="2" t="inlineStr"/>
    </row>
    <row r="947" ht="15" customHeight="1">
      <c r="A947" t="inlineStr">
        <is>
          <t>A 21186-2024</t>
        </is>
      </c>
      <c r="B947" t="inlineStr">
        <is>
          <t>avverkningsanmälan</t>
        </is>
      </c>
      <c r="C947" t="inlineStr">
        <is>
          <t>Föryngringsavverkning</t>
        </is>
      </c>
      <c r="D947" s="1" t="n">
        <v>45440</v>
      </c>
      <c r="E947" s="1" t="n">
        <v>46314</v>
      </c>
      <c r="F947" t="inlineStr">
        <is>
          <t>KRONOBERGS LÄN</t>
        </is>
      </c>
      <c r="G947" t="inlineStr">
        <is>
          <t>VÄXJÖ</t>
        </is>
      </c>
      <c r="I947" t="n">
        <v>4.3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s="2" t="inlineStr"/>
    </row>
    <row r="948" ht="15" customHeight="1">
      <c r="A948" t="inlineStr">
        <is>
          <t>A 61193-2024</t>
        </is>
      </c>
      <c r="B948" t="inlineStr">
        <is>
          <t>avverkningsanmälan</t>
        </is>
      </c>
      <c r="C948" t="inlineStr">
        <is>
          <t>Föryngringsavverkning</t>
        </is>
      </c>
      <c r="D948" s="1" t="n">
        <v>45645</v>
      </c>
      <c r="E948" s="1" t="n">
        <v>46314</v>
      </c>
      <c r="F948" t="inlineStr">
        <is>
          <t>KRONOBERGS LÄN</t>
        </is>
      </c>
      <c r="G948" t="inlineStr">
        <is>
          <t>VÄXJÖ</t>
        </is>
      </c>
      <c r="I948" t="n">
        <v>0.7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s="2" t="inlineStr"/>
    </row>
    <row r="949" ht="15" customHeight="1">
      <c r="A949" t="inlineStr">
        <is>
          <t>A 5352-2025</t>
        </is>
      </c>
      <c r="B949" t="inlineStr">
        <is>
          <t>avverkningsanmälan</t>
        </is>
      </c>
      <c r="C949" t="inlineStr">
        <is>
          <t>Föryngringsavverkning</t>
        </is>
      </c>
      <c r="D949" s="1" t="n">
        <v>45692</v>
      </c>
      <c r="E949" s="1" t="n">
        <v>46314</v>
      </c>
      <c r="F949" t="inlineStr">
        <is>
          <t>KRONOBERGS LÄN</t>
        </is>
      </c>
      <c r="G949" t="inlineStr">
        <is>
          <t>VÄXJÖ</t>
        </is>
      </c>
      <c r="I949" t="n">
        <v>0.9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s="2" t="inlineStr"/>
    </row>
    <row r="950" ht="15" customHeight="1">
      <c r="A950" t="inlineStr">
        <is>
          <t>A 16200-2023</t>
        </is>
      </c>
      <c r="B950" t="inlineStr">
        <is>
          <t>avverkningsanmälan</t>
        </is>
      </c>
      <c r="C950" t="inlineStr">
        <is>
          <t>Föryngringsavverkning</t>
        </is>
      </c>
      <c r="D950" s="1" t="n">
        <v>45028</v>
      </c>
      <c r="E950" s="1" t="n">
        <v>46314</v>
      </c>
      <c r="F950" t="inlineStr">
        <is>
          <t>KRONOBERGS LÄN</t>
        </is>
      </c>
      <c r="G950" t="inlineStr">
        <is>
          <t>VÄXJÖ</t>
        </is>
      </c>
      <c r="I950" t="n">
        <v>1.2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s="2" t="inlineStr"/>
    </row>
    <row r="951" ht="15" customHeight="1">
      <c r="A951" t="inlineStr">
        <is>
          <t>A 21008-2025</t>
        </is>
      </c>
      <c r="B951" t="inlineStr">
        <is>
          <t>avverkningsanmälan</t>
        </is>
      </c>
      <c r="C951" t="inlineStr">
        <is>
          <t>Föryngringsavverkning</t>
        </is>
      </c>
      <c r="D951" s="1" t="n">
        <v>45777</v>
      </c>
      <c r="E951" s="1" t="n">
        <v>46314</v>
      </c>
      <c r="F951" t="inlineStr">
        <is>
          <t>KRONOBERGS LÄN</t>
        </is>
      </c>
      <c r="G951" t="inlineStr">
        <is>
          <t>VÄXJÖ</t>
        </is>
      </c>
      <c r="H951" t="inlineStr">
        <is>
          <t>Sveaskog</t>
        </is>
      </c>
      <c r="I951" t="n">
        <v>1.7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s="2" t="inlineStr"/>
    </row>
    <row r="952" ht="15" customHeight="1">
      <c r="A952" t="inlineStr">
        <is>
          <t>A 21011-2025</t>
        </is>
      </c>
      <c r="B952" t="inlineStr">
        <is>
          <t>avverkningsanmälan</t>
        </is>
      </c>
      <c r="C952" t="inlineStr">
        <is>
          <t>Föryngringsavverkning</t>
        </is>
      </c>
      <c r="D952" s="1" t="n">
        <v>45777</v>
      </c>
      <c r="E952" s="1" t="n">
        <v>46314</v>
      </c>
      <c r="F952" t="inlineStr">
        <is>
          <t>KRONOBERGS LÄN</t>
        </is>
      </c>
      <c r="G952" t="inlineStr">
        <is>
          <t>VÄXJÖ</t>
        </is>
      </c>
      <c r="H952" t="inlineStr">
        <is>
          <t>Sveaskog</t>
        </is>
      </c>
      <c r="I952" t="n">
        <v>1.6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s="2" t="inlineStr"/>
    </row>
    <row r="953" ht="15" customHeight="1">
      <c r="A953" t="inlineStr">
        <is>
          <t>A 46576-2023</t>
        </is>
      </c>
      <c r="B953" t="inlineStr">
        <is>
          <t>avverkningsanmälan</t>
        </is>
      </c>
      <c r="C953" t="inlineStr">
        <is>
          <t>Föryngringsavverkning</t>
        </is>
      </c>
      <c r="D953" s="1" t="n">
        <v>45194</v>
      </c>
      <c r="E953" s="1" t="n">
        <v>46314</v>
      </c>
      <c r="F953" t="inlineStr">
        <is>
          <t>KRONOBERGS LÄN</t>
        </is>
      </c>
      <c r="G953" t="inlineStr">
        <is>
          <t>VÄXJÖ</t>
        </is>
      </c>
      <c r="I953" t="n">
        <v>2.5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s="2" t="inlineStr"/>
    </row>
    <row r="954" ht="15" customHeight="1">
      <c r="A954" t="inlineStr">
        <is>
          <t>A 38895-2024</t>
        </is>
      </c>
      <c r="B954" t="inlineStr">
        <is>
          <t>avverkningsanmälan</t>
        </is>
      </c>
      <c r="C954" t="inlineStr">
        <is>
          <t>Föryngringsavverkning</t>
        </is>
      </c>
      <c r="D954" s="1" t="n">
        <v>45547</v>
      </c>
      <c r="E954" s="1" t="n">
        <v>46314</v>
      </c>
      <c r="F954" t="inlineStr">
        <is>
          <t>KRONOBERGS LÄN</t>
        </is>
      </c>
      <c r="G954" t="inlineStr">
        <is>
          <t>VÄXJÖ</t>
        </is>
      </c>
      <c r="I954" t="n">
        <v>3.1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s="2" t="inlineStr"/>
    </row>
    <row r="955" ht="15" customHeight="1">
      <c r="A955" t="inlineStr">
        <is>
          <t>A 21010-2025</t>
        </is>
      </c>
      <c r="B955" t="inlineStr">
        <is>
          <t>avverkningsanmälan</t>
        </is>
      </c>
      <c r="C955" t="inlineStr">
        <is>
          <t>Föryngringsavverkning</t>
        </is>
      </c>
      <c r="D955" s="1" t="n">
        <v>45777</v>
      </c>
      <c r="E955" s="1" t="n">
        <v>46314</v>
      </c>
      <c r="F955" t="inlineStr">
        <is>
          <t>KRONOBERGS LÄN</t>
        </is>
      </c>
      <c r="G955" t="inlineStr">
        <is>
          <t>VÄXJÖ</t>
        </is>
      </c>
      <c r="H955" t="inlineStr">
        <is>
          <t>Sveaskog</t>
        </is>
      </c>
      <c r="I955" t="n">
        <v>1.7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s="2" t="inlineStr"/>
    </row>
    <row r="956" ht="15" customHeight="1">
      <c r="A956" t="inlineStr">
        <is>
          <t>A 33526-2024</t>
        </is>
      </c>
      <c r="B956" t="inlineStr">
        <is>
          <t>avverkningsanmälan</t>
        </is>
      </c>
      <c r="C956" t="inlineStr">
        <is>
          <t>Föryngringsavverkning</t>
        </is>
      </c>
      <c r="D956" s="1" t="n">
        <v>45519</v>
      </c>
      <c r="E956" s="1" t="n">
        <v>46314</v>
      </c>
      <c r="F956" t="inlineStr">
        <is>
          <t>KRONOBERGS LÄN</t>
        </is>
      </c>
      <c r="G956" t="inlineStr">
        <is>
          <t>VÄXJÖ</t>
        </is>
      </c>
      <c r="I956" t="n">
        <v>2.1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s="2" t="inlineStr"/>
    </row>
    <row r="957" ht="15" customHeight="1">
      <c r="A957" t="inlineStr">
        <is>
          <t>A 41555-2026</t>
        </is>
      </c>
      <c r="B957" t="inlineStr">
        <is>
          <t>avverkningsanmälan</t>
        </is>
      </c>
      <c r="C957" t="inlineStr">
        <is>
          <t>Föryngringsavverkning</t>
        </is>
      </c>
      <c r="D957" s="1" t="n">
        <v>46301</v>
      </c>
      <c r="E957" s="1" t="n">
        <v>46314</v>
      </c>
      <c r="F957" t="inlineStr">
        <is>
          <t>KRONOBERGS LÄN</t>
        </is>
      </c>
      <c r="G957" t="inlineStr">
        <is>
          <t>VÄXJÖ</t>
        </is>
      </c>
      <c r="I957" t="n">
        <v>2.6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s="2" t="inlineStr"/>
    </row>
    <row r="958" ht="15" customHeight="1">
      <c r="A958" t="inlineStr">
        <is>
          <t>A 21297-2025</t>
        </is>
      </c>
      <c r="B958" t="inlineStr">
        <is>
          <t>avverkningsanmälan</t>
        </is>
      </c>
      <c r="C958" t="inlineStr">
        <is>
          <t>Föryngringsavverkning</t>
        </is>
      </c>
      <c r="D958" s="1" t="n">
        <v>45780</v>
      </c>
      <c r="E958" s="1" t="n">
        <v>46314</v>
      </c>
      <c r="F958" t="inlineStr">
        <is>
          <t>KRONOBERGS LÄN</t>
        </is>
      </c>
      <c r="G958" t="inlineStr">
        <is>
          <t>VÄXJÖ</t>
        </is>
      </c>
      <c r="I958" t="n">
        <v>0.7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s="2" t="inlineStr"/>
    </row>
    <row r="959" ht="15" customHeight="1">
      <c r="A959" t="inlineStr">
        <is>
          <t>A 21298-2025</t>
        </is>
      </c>
      <c r="B959" t="inlineStr">
        <is>
          <t>avverkningsanmälan</t>
        </is>
      </c>
      <c r="C959" t="inlineStr">
        <is>
          <t>Föryngringsavverkning</t>
        </is>
      </c>
      <c r="D959" s="1" t="n">
        <v>45780</v>
      </c>
      <c r="E959" s="1" t="n">
        <v>46314</v>
      </c>
      <c r="F959" t="inlineStr">
        <is>
          <t>KRONOBERGS LÄN</t>
        </is>
      </c>
      <c r="G959" t="inlineStr">
        <is>
          <t>VÄXJÖ</t>
        </is>
      </c>
      <c r="I959" t="n">
        <v>0.4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s="2" t="inlineStr"/>
    </row>
    <row r="960" ht="15" customHeight="1">
      <c r="A960" t="inlineStr">
        <is>
          <t>A 28731-2024</t>
        </is>
      </c>
      <c r="B960" t="inlineStr">
        <is>
          <t>avverkningsanmälan</t>
        </is>
      </c>
      <c r="C960" t="inlineStr">
        <is>
          <t>Föryngringsavverkning</t>
        </is>
      </c>
      <c r="D960" s="1" t="n">
        <v>45478</v>
      </c>
      <c r="E960" s="1" t="n">
        <v>46314</v>
      </c>
      <c r="F960" t="inlineStr">
        <is>
          <t>KRONOBERGS LÄN</t>
        </is>
      </c>
      <c r="G960" t="inlineStr">
        <is>
          <t>VÄXJÖ</t>
        </is>
      </c>
      <c r="I960" t="n">
        <v>0.9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s="2" t="inlineStr"/>
    </row>
    <row r="961" ht="15" customHeight="1">
      <c r="A961" t="inlineStr">
        <is>
          <t>A 38519-2024</t>
        </is>
      </c>
      <c r="B961" t="inlineStr">
        <is>
          <t>avverkningsanmälan</t>
        </is>
      </c>
      <c r="C961" t="inlineStr">
        <is>
          <t>Föryngringsavverkning</t>
        </is>
      </c>
      <c r="D961" s="1" t="n">
        <v>45546</v>
      </c>
      <c r="E961" s="1" t="n">
        <v>46314</v>
      </c>
      <c r="F961" t="inlineStr">
        <is>
          <t>KRONOBERGS LÄN</t>
        </is>
      </c>
      <c r="G961" t="inlineStr">
        <is>
          <t>VÄXJÖ</t>
        </is>
      </c>
      <c r="I961" t="n">
        <v>1.7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s="2" t="inlineStr"/>
    </row>
    <row r="962" ht="15" customHeight="1">
      <c r="A962" t="inlineStr">
        <is>
          <t>A 21695-2025</t>
        </is>
      </c>
      <c r="B962" t="inlineStr">
        <is>
          <t>avverkningsanmälan</t>
        </is>
      </c>
      <c r="C962" t="inlineStr">
        <is>
          <t>Föryngringsavverkning</t>
        </is>
      </c>
      <c r="D962" s="1" t="n">
        <v>45783</v>
      </c>
      <c r="E962" s="1" t="n">
        <v>46314</v>
      </c>
      <c r="F962" t="inlineStr">
        <is>
          <t>KRONOBERGS LÄN</t>
        </is>
      </c>
      <c r="G962" t="inlineStr">
        <is>
          <t>VÄXJÖ</t>
        </is>
      </c>
      <c r="I962" t="n">
        <v>0.6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s="2" t="inlineStr"/>
    </row>
    <row r="963" ht="15" customHeight="1">
      <c r="A963" t="inlineStr">
        <is>
          <t>A 21532-2025</t>
        </is>
      </c>
      <c r="B963" t="inlineStr">
        <is>
          <t>avverkningsanmälan</t>
        </is>
      </c>
      <c r="C963" t="inlineStr">
        <is>
          <t>Föryngringsavverkning</t>
        </is>
      </c>
      <c r="D963" s="1" t="n">
        <v>45782</v>
      </c>
      <c r="E963" s="1" t="n">
        <v>46314</v>
      </c>
      <c r="F963" t="inlineStr">
        <is>
          <t>KRONOBERGS LÄN</t>
        </is>
      </c>
      <c r="G963" t="inlineStr">
        <is>
          <t>VÄXJÖ</t>
        </is>
      </c>
      <c r="I963" t="n">
        <v>0.5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s="2" t="inlineStr"/>
    </row>
    <row r="964" ht="15" customHeight="1">
      <c r="A964" t="inlineStr">
        <is>
          <t>A 41086-2026</t>
        </is>
      </c>
      <c r="B964" t="inlineStr">
        <is>
          <t>avverkningsanmälan</t>
        </is>
      </c>
      <c r="C964" t="inlineStr">
        <is>
          <t>Föryngringsavverkning</t>
        </is>
      </c>
      <c r="D964" s="1" t="n">
        <v>46300</v>
      </c>
      <c r="E964" s="1" t="n">
        <v>46314</v>
      </c>
      <c r="F964" t="inlineStr">
        <is>
          <t>KRONOBERGS LÄN</t>
        </is>
      </c>
      <c r="G964" t="inlineStr">
        <is>
          <t>VÄXJÖ</t>
        </is>
      </c>
      <c r="I964" t="n">
        <v>0.7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s="2" t="inlineStr"/>
    </row>
    <row r="965" ht="15" customHeight="1">
      <c r="A965" t="inlineStr">
        <is>
          <t>A 29076-2026</t>
        </is>
      </c>
      <c r="B965" t="inlineStr">
        <is>
          <t>avverkningsanmälan</t>
        </is>
      </c>
      <c r="C965" t="inlineStr">
        <is>
          <t>Föryngringsavverkning</t>
        </is>
      </c>
      <c r="D965" s="1" t="n">
        <v>46199</v>
      </c>
      <c r="E965" s="1" t="n">
        <v>46314</v>
      </c>
      <c r="F965" t="inlineStr">
        <is>
          <t>KRONOBERGS LÄN</t>
        </is>
      </c>
      <c r="G965" t="inlineStr">
        <is>
          <t>VÄXJÖ</t>
        </is>
      </c>
      <c r="I965" t="n">
        <v>10.8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s="2" t="inlineStr"/>
    </row>
    <row r="966" ht="15" customHeight="1">
      <c r="A966" t="inlineStr">
        <is>
          <t>A 36235-2024</t>
        </is>
      </c>
      <c r="B966" t="inlineStr">
        <is>
          <t>avverkningsanmälan</t>
        </is>
      </c>
      <c r="C966" t="inlineStr">
        <is>
          <t>Föryngringsavverkning</t>
        </is>
      </c>
      <c r="D966" s="1" t="n">
        <v>45534</v>
      </c>
      <c r="E966" s="1" t="n">
        <v>46314</v>
      </c>
      <c r="F966" t="inlineStr">
        <is>
          <t>KRONOBERGS LÄN</t>
        </is>
      </c>
      <c r="G966" t="inlineStr">
        <is>
          <t>VÄXJÖ</t>
        </is>
      </c>
      <c r="I966" t="n">
        <v>1.4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s="2" t="inlineStr"/>
    </row>
    <row r="967" ht="15" customHeight="1">
      <c r="A967" t="inlineStr">
        <is>
          <t>A 29978-2023</t>
        </is>
      </c>
      <c r="B967" t="inlineStr">
        <is>
          <t>avverkningsanmälan</t>
        </is>
      </c>
      <c r="C967" t="inlineStr">
        <is>
          <t>Föryngringsavverkning</t>
        </is>
      </c>
      <c r="D967" s="1" t="n">
        <v>45108</v>
      </c>
      <c r="E967" s="1" t="n">
        <v>46314</v>
      </c>
      <c r="F967" t="inlineStr">
        <is>
          <t>KRONOBERGS LÄN</t>
        </is>
      </c>
      <c r="G967" t="inlineStr">
        <is>
          <t>VÄXJÖ</t>
        </is>
      </c>
      <c r="I967" t="n">
        <v>1.2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s="2" t="inlineStr"/>
    </row>
    <row r="968" ht="15" customHeight="1">
      <c r="A968" t="inlineStr">
        <is>
          <t>A 41278-2026</t>
        </is>
      </c>
      <c r="B968" t="inlineStr">
        <is>
          <t>avverkningsanmälan</t>
        </is>
      </c>
      <c r="C968" t="inlineStr">
        <is>
          <t>Föryngringsavverkning</t>
        </is>
      </c>
      <c r="D968" s="1" t="n">
        <v>46300</v>
      </c>
      <c r="E968" s="1" t="n">
        <v>46314</v>
      </c>
      <c r="F968" t="inlineStr">
        <is>
          <t>KRONOBERGS LÄN</t>
        </is>
      </c>
      <c r="G968" t="inlineStr">
        <is>
          <t>VÄXJÖ</t>
        </is>
      </c>
      <c r="I968" t="n">
        <v>2.4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s="2" t="inlineStr"/>
    </row>
    <row r="969" ht="15" customHeight="1">
      <c r="A969" t="inlineStr">
        <is>
          <t>A 32246-2022</t>
        </is>
      </c>
      <c r="B969" t="inlineStr">
        <is>
          <t>avverkningsanmälan</t>
        </is>
      </c>
      <c r="C969" t="inlineStr">
        <is>
          <t>Föryngringsavverkning</t>
        </is>
      </c>
      <c r="D969" s="1" t="n">
        <v>44781</v>
      </c>
      <c r="E969" s="1" t="n">
        <v>46314</v>
      </c>
      <c r="F969" t="inlineStr">
        <is>
          <t>KRONOBERGS LÄN</t>
        </is>
      </c>
      <c r="G969" t="inlineStr">
        <is>
          <t>VÄXJÖ</t>
        </is>
      </c>
      <c r="H969" t="inlineStr">
        <is>
          <t>Sveaskog</t>
        </is>
      </c>
      <c r="I969" t="n">
        <v>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s="2" t="inlineStr"/>
    </row>
    <row r="970" ht="15" customHeight="1">
      <c r="A970" t="inlineStr">
        <is>
          <t>A 34754-2026</t>
        </is>
      </c>
      <c r="B970" t="inlineStr">
        <is>
          <t>avverkningsanmälan</t>
        </is>
      </c>
      <c r="C970" t="inlineStr">
        <is>
          <t>Föryngringsavverkning</t>
        </is>
      </c>
      <c r="D970" s="1" t="n">
        <v>46258</v>
      </c>
      <c r="E970" s="1" t="n">
        <v>46314</v>
      </c>
      <c r="F970" t="inlineStr">
        <is>
          <t>KRONOBERGS LÄN</t>
        </is>
      </c>
      <c r="G970" t="inlineStr">
        <is>
          <t>VÄXJÖ</t>
        </is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s="2" t="inlineStr"/>
    </row>
    <row r="971" ht="15" customHeight="1">
      <c r="A971" t="inlineStr">
        <is>
          <t>A 59977-2024</t>
        </is>
      </c>
      <c r="B971" t="inlineStr">
        <is>
          <t>avverkningsanmälan</t>
        </is>
      </c>
      <c r="C971" t="inlineStr">
        <is>
          <t>Föryngringsavverkning</t>
        </is>
      </c>
      <c r="D971" s="1" t="n">
        <v>45642</v>
      </c>
      <c r="E971" s="1" t="n">
        <v>46314</v>
      </c>
      <c r="F971" t="inlineStr">
        <is>
          <t>KRONOBERGS LÄN</t>
        </is>
      </c>
      <c r="G971" t="inlineStr">
        <is>
          <t>VÄXJÖ</t>
        </is>
      </c>
      <c r="I971" t="n">
        <v>1.9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s="2" t="inlineStr"/>
    </row>
    <row r="972" ht="15" customHeight="1">
      <c r="A972" t="inlineStr">
        <is>
          <t>A 53275-2024</t>
        </is>
      </c>
      <c r="B972" t="inlineStr">
        <is>
          <t>avverkningsanmälan</t>
        </is>
      </c>
      <c r="C972" t="inlineStr">
        <is>
          <t>Föryngringsavverkning</t>
        </is>
      </c>
      <c r="D972" s="1" t="n">
        <v>45614</v>
      </c>
      <c r="E972" s="1" t="n">
        <v>46314</v>
      </c>
      <c r="F972" t="inlineStr">
        <is>
          <t>KRONOBERGS LÄN</t>
        </is>
      </c>
      <c r="G972" t="inlineStr">
        <is>
          <t>VÄXJÖ</t>
        </is>
      </c>
      <c r="I972" t="n">
        <v>1.3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s="2" t="inlineStr"/>
    </row>
    <row r="973" ht="15" customHeight="1">
      <c r="A973" t="inlineStr">
        <is>
          <t>A 9902-2025</t>
        </is>
      </c>
      <c r="B973" t="inlineStr">
        <is>
          <t>avverkningsanmälan</t>
        </is>
      </c>
      <c r="C973" t="inlineStr">
        <is>
          <t>Föryngringsavverkning</t>
        </is>
      </c>
      <c r="D973" s="1" t="n">
        <v>45716</v>
      </c>
      <c r="E973" s="1" t="n">
        <v>46314</v>
      </c>
      <c r="F973" t="inlineStr">
        <is>
          <t>KRONOBERGS LÄN</t>
        </is>
      </c>
      <c r="G973" t="inlineStr">
        <is>
          <t>VÄXJÖ</t>
        </is>
      </c>
      <c r="I973" t="n">
        <v>1.7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s="2" t="inlineStr"/>
    </row>
    <row r="974" ht="15" customHeight="1">
      <c r="A974" t="inlineStr">
        <is>
          <t>A 52191-2024</t>
        </is>
      </c>
      <c r="B974" t="inlineStr">
        <is>
          <t>avverkningsanmälan</t>
        </is>
      </c>
      <c r="C974" t="inlineStr">
        <is>
          <t>Föryngringsavverkning</t>
        </is>
      </c>
      <c r="D974" s="1" t="n">
        <v>45608</v>
      </c>
      <c r="E974" s="1" t="n">
        <v>46314</v>
      </c>
      <c r="F974" t="inlineStr">
        <is>
          <t>KRONOBERGS LÄN</t>
        </is>
      </c>
      <c r="G974" t="inlineStr">
        <is>
          <t>VÄXJÖ</t>
        </is>
      </c>
      <c r="I974" t="n">
        <v>1.5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s="2" t="inlineStr"/>
    </row>
    <row r="975" ht="15" customHeight="1">
      <c r="A975" t="inlineStr">
        <is>
          <t>A 35152-2026</t>
        </is>
      </c>
      <c r="B975" t="inlineStr">
        <is>
          <t>avverkningsanmälan</t>
        </is>
      </c>
      <c r="C975" t="inlineStr">
        <is>
          <t>Föryngringsavverkning</t>
        </is>
      </c>
      <c r="D975" s="1" t="n">
        <v>46260</v>
      </c>
      <c r="E975" s="1" t="n">
        <v>46314</v>
      </c>
      <c r="F975" t="inlineStr">
        <is>
          <t>KRONOBERGS LÄN</t>
        </is>
      </c>
      <c r="G975" t="inlineStr">
        <is>
          <t>VÄXJÖ</t>
        </is>
      </c>
      <c r="I975" t="n">
        <v>1.5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s="2" t="inlineStr"/>
    </row>
    <row r="976" ht="15" customHeight="1">
      <c r="A976" t="inlineStr">
        <is>
          <t>A 26428-2026</t>
        </is>
      </c>
      <c r="B976" t="inlineStr">
        <is>
          <t>avverkningsanmälan</t>
        </is>
      </c>
      <c r="C976" t="inlineStr">
        <is>
          <t>Föryngringsavverkning</t>
        </is>
      </c>
      <c r="D976" s="1" t="n">
        <v>46183</v>
      </c>
      <c r="E976" s="1" t="n">
        <v>46314</v>
      </c>
      <c r="F976" t="inlineStr">
        <is>
          <t>KRONOBERGS LÄN</t>
        </is>
      </c>
      <c r="G976" t="inlineStr">
        <is>
          <t>VÄXJÖ</t>
        </is>
      </c>
      <c r="I976" t="n">
        <v>1.9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s="2" t="inlineStr"/>
    </row>
    <row r="977" ht="15" customHeight="1">
      <c r="A977" t="inlineStr">
        <is>
          <t>A 9901-2025</t>
        </is>
      </c>
      <c r="B977" t="inlineStr">
        <is>
          <t>avverkningsanmälan</t>
        </is>
      </c>
      <c r="C977" t="inlineStr">
        <is>
          <t>Föryngringsavverkning</t>
        </is>
      </c>
      <c r="D977" s="1" t="n">
        <v>45716</v>
      </c>
      <c r="E977" s="1" t="n">
        <v>46314</v>
      </c>
      <c r="F977" t="inlineStr">
        <is>
          <t>KRONOBERGS LÄN</t>
        </is>
      </c>
      <c r="G977" t="inlineStr">
        <is>
          <t>VÄXJÖ</t>
        </is>
      </c>
      <c r="I977" t="n">
        <v>2.2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s="2" t="inlineStr"/>
    </row>
    <row r="978" ht="15" customHeight="1">
      <c r="A978" t="inlineStr">
        <is>
          <t>A 23203-2025</t>
        </is>
      </c>
      <c r="B978" t="inlineStr">
        <is>
          <t>avverkningsanmälan</t>
        </is>
      </c>
      <c r="C978" t="inlineStr">
        <is>
          <t>Föryngringsavverkning</t>
        </is>
      </c>
      <c r="D978" s="1" t="n">
        <v>45791</v>
      </c>
      <c r="E978" s="1" t="n">
        <v>46314</v>
      </c>
      <c r="F978" t="inlineStr">
        <is>
          <t>KRONOBERGS LÄN</t>
        </is>
      </c>
      <c r="G978" t="inlineStr">
        <is>
          <t>VÄXJÖ</t>
        </is>
      </c>
      <c r="I978" t="n">
        <v>0.4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s="2" t="inlineStr"/>
    </row>
    <row r="979" ht="15" customHeight="1">
      <c r="A979" t="inlineStr">
        <is>
          <t>A 44265-2025</t>
        </is>
      </c>
      <c r="B979" t="inlineStr">
        <is>
          <t>avverkningsanmälan</t>
        </is>
      </c>
      <c r="C979" t="inlineStr">
        <is>
          <t>Föryngringsavverkning</t>
        </is>
      </c>
      <c r="D979" s="1" t="n">
        <v>45916</v>
      </c>
      <c r="E979" s="1" t="n">
        <v>46314</v>
      </c>
      <c r="F979" t="inlineStr">
        <is>
          <t>KRONOBERGS LÄN</t>
        </is>
      </c>
      <c r="G979" t="inlineStr">
        <is>
          <t>VÄXJÖ</t>
        </is>
      </c>
      <c r="I979" t="n">
        <v>1.7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s="2" t="inlineStr"/>
    </row>
    <row r="980" ht="15" customHeight="1">
      <c r="A980" t="inlineStr">
        <is>
          <t>A 35389-2026</t>
        </is>
      </c>
      <c r="B980" t="inlineStr">
        <is>
          <t>avverkningsanmälan</t>
        </is>
      </c>
      <c r="C980" t="inlineStr">
        <is>
          <t>Föryngringsavverkning</t>
        </is>
      </c>
      <c r="D980" s="1" t="n">
        <v>46261</v>
      </c>
      <c r="E980" s="1" t="n">
        <v>46314</v>
      </c>
      <c r="F980" t="inlineStr">
        <is>
          <t>KRONOBERGS LÄN</t>
        </is>
      </c>
      <c r="G980" t="inlineStr">
        <is>
          <t>VÄXJÖ</t>
        </is>
      </c>
      <c r="I980" t="n">
        <v>2.6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s="2" t="inlineStr"/>
    </row>
    <row r="981" ht="15" customHeight="1">
      <c r="A981" t="inlineStr">
        <is>
          <t>A 26801-2026</t>
        </is>
      </c>
      <c r="B981" t="inlineStr">
        <is>
          <t>avverkningsanmälan</t>
        </is>
      </c>
      <c r="C981" t="inlineStr">
        <is>
          <t>Föryngringsavverkning</t>
        </is>
      </c>
      <c r="D981" s="1" t="n">
        <v>46183</v>
      </c>
      <c r="E981" s="1" t="n">
        <v>46314</v>
      </c>
      <c r="F981" t="inlineStr">
        <is>
          <t>KRONOBERGS LÄN</t>
        </is>
      </c>
      <c r="G981" t="inlineStr">
        <is>
          <t>VÄXJÖ</t>
        </is>
      </c>
      <c r="I981" t="n">
        <v>1.5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s="2" t="inlineStr"/>
    </row>
    <row r="982" ht="15" customHeight="1">
      <c r="A982" t="inlineStr">
        <is>
          <t>A 42357-2026</t>
        </is>
      </c>
      <c r="B982" t="inlineStr">
        <is>
          <t>avverkningsanmälan</t>
        </is>
      </c>
      <c r="C982" t="inlineStr">
        <is>
          <t>Föryngringsavverkning</t>
        </is>
      </c>
      <c r="D982" s="1" t="n">
        <v>46307</v>
      </c>
      <c r="E982" s="1" t="n">
        <v>46314</v>
      </c>
      <c r="F982" t="inlineStr">
        <is>
          <t>KRONOBERGS LÄN</t>
        </is>
      </c>
      <c r="G982" t="inlineStr">
        <is>
          <t>VÄXJÖ</t>
        </is>
      </c>
      <c r="I982" t="n">
        <v>1.3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s="2" t="inlineStr"/>
    </row>
    <row r="983" ht="15" customHeight="1">
      <c r="A983" t="inlineStr">
        <is>
          <t>A 42388-2026</t>
        </is>
      </c>
      <c r="B983" t="inlineStr">
        <is>
          <t>avverkningsanmälan</t>
        </is>
      </c>
      <c r="C983" t="inlineStr">
        <is>
          <t>Föryngringsavverkning</t>
        </is>
      </c>
      <c r="D983" s="1" t="n">
        <v>46307</v>
      </c>
      <c r="E983" s="1" t="n">
        <v>46314</v>
      </c>
      <c r="F983" t="inlineStr">
        <is>
          <t>KRONOBERGS LÄN</t>
        </is>
      </c>
      <c r="G983" t="inlineStr">
        <is>
          <t>VÄXJÖ</t>
        </is>
      </c>
      <c r="I983" t="n">
        <v>2.7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s="2" t="inlineStr"/>
    </row>
    <row r="984" ht="15" customHeight="1">
      <c r="A984" t="inlineStr">
        <is>
          <t>A 24041-2025</t>
        </is>
      </c>
      <c r="B984" t="inlineStr">
        <is>
          <t>avverkningsanmälan</t>
        </is>
      </c>
      <c r="C984" t="inlineStr">
        <is>
          <t>Föryngringsavverkning</t>
        </is>
      </c>
      <c r="D984" s="1" t="n">
        <v>45796</v>
      </c>
      <c r="E984" s="1" t="n">
        <v>46314</v>
      </c>
      <c r="F984" t="inlineStr">
        <is>
          <t>KRONOBERGS LÄN</t>
        </is>
      </c>
      <c r="G984" t="inlineStr">
        <is>
          <t>VÄXJÖ</t>
        </is>
      </c>
      <c r="I984" t="n">
        <v>1.7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s="2" t="inlineStr"/>
    </row>
    <row r="985" ht="15" customHeight="1">
      <c r="A985" t="inlineStr">
        <is>
          <t>A 40642-2022</t>
        </is>
      </c>
      <c r="B985" t="inlineStr">
        <is>
          <t>avverkningsanmälan</t>
        </is>
      </c>
      <c r="C985" t="inlineStr">
        <is>
          <t>Föryngringsavverkning</t>
        </is>
      </c>
      <c r="D985" s="1" t="n">
        <v>44824</v>
      </c>
      <c r="E985" s="1" t="n">
        <v>46314</v>
      </c>
      <c r="F985" t="inlineStr">
        <is>
          <t>KRONOBERGS LÄN</t>
        </is>
      </c>
      <c r="G985" t="inlineStr">
        <is>
          <t>VÄXJÖ</t>
        </is>
      </c>
      <c r="I985" t="n">
        <v>1.5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s="2" t="inlineStr"/>
    </row>
    <row r="986" ht="15" customHeight="1">
      <c r="A986" t="inlineStr">
        <is>
          <t>A 44564-2024</t>
        </is>
      </c>
      <c r="B986" t="inlineStr">
        <is>
          <t>avverkningsanmälan</t>
        </is>
      </c>
      <c r="C986" t="inlineStr">
        <is>
          <t>Föryngringsavverkning</t>
        </is>
      </c>
      <c r="D986" s="1" t="n">
        <v>45574</v>
      </c>
      <c r="E986" s="1" t="n">
        <v>46314</v>
      </c>
      <c r="F986" t="inlineStr">
        <is>
          <t>KRONOBERGS LÄN</t>
        </is>
      </c>
      <c r="G986" t="inlineStr">
        <is>
          <t>VÄXJÖ</t>
        </is>
      </c>
      <c r="I986" t="n">
        <v>6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s="2" t="inlineStr"/>
    </row>
    <row r="987" ht="15" customHeight="1">
      <c r="A987" t="inlineStr">
        <is>
          <t>A 35536-2026</t>
        </is>
      </c>
      <c r="B987" t="inlineStr">
        <is>
          <t>avverkningsanmälan</t>
        </is>
      </c>
      <c r="C987" t="inlineStr">
        <is>
          <t>Föryngringsavverkning</t>
        </is>
      </c>
      <c r="D987" s="1" t="n">
        <v>46262</v>
      </c>
      <c r="E987" s="1" t="n">
        <v>46314</v>
      </c>
      <c r="F987" t="inlineStr">
        <is>
          <t>KRONOBERGS LÄN</t>
        </is>
      </c>
      <c r="G987" t="inlineStr">
        <is>
          <t>VÄXJÖ</t>
        </is>
      </c>
      <c r="I987" t="n">
        <v>1.6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s="2" t="inlineStr"/>
    </row>
    <row r="988" ht="15" customHeight="1">
      <c r="A988" t="inlineStr">
        <is>
          <t>A 42100-2026</t>
        </is>
      </c>
      <c r="B988" t="inlineStr">
        <is>
          <t>avverkningsanmälan</t>
        </is>
      </c>
      <c r="C988" t="inlineStr">
        <is>
          <t>Föryngringsavverkning</t>
        </is>
      </c>
      <c r="D988" s="1" t="n">
        <v>46304</v>
      </c>
      <c r="E988" s="1" t="n">
        <v>46314</v>
      </c>
      <c r="F988" t="inlineStr">
        <is>
          <t>KRONOBERGS LÄN</t>
        </is>
      </c>
      <c r="G988" t="inlineStr">
        <is>
          <t>VÄXJÖ</t>
        </is>
      </c>
      <c r="I988" t="n">
        <v>0.4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s="2" t="inlineStr"/>
    </row>
    <row r="989" ht="15" customHeight="1">
      <c r="A989" t="inlineStr">
        <is>
          <t>A 42382-2026</t>
        </is>
      </c>
      <c r="B989" t="inlineStr">
        <is>
          <t>avverkningsanmälan</t>
        </is>
      </c>
      <c r="C989" t="inlineStr">
        <is>
          <t>Föryngringsavverkning</t>
        </is>
      </c>
      <c r="D989" s="1" t="n">
        <v>46307</v>
      </c>
      <c r="E989" s="1" t="n">
        <v>46314</v>
      </c>
      <c r="F989" t="inlineStr">
        <is>
          <t>KRONOBERGS LÄN</t>
        </is>
      </c>
      <c r="G989" t="inlineStr">
        <is>
          <t>VÄXJÖ</t>
        </is>
      </c>
      <c r="I989" t="n">
        <v>1.2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s="2" t="inlineStr"/>
    </row>
    <row r="990" ht="15" customHeight="1">
      <c r="A990" t="inlineStr">
        <is>
          <t>A 18998-2025</t>
        </is>
      </c>
      <c r="B990" t="inlineStr">
        <is>
          <t>avverkningsanmälan</t>
        </is>
      </c>
      <c r="C990" t="inlineStr">
        <is>
          <t>Föryngringsavverkning</t>
        </is>
      </c>
      <c r="D990" s="1" t="n">
        <v>45764</v>
      </c>
      <c r="E990" s="1" t="n">
        <v>46314</v>
      </c>
      <c r="F990" t="inlineStr">
        <is>
          <t>KRONOBERGS LÄN</t>
        </is>
      </c>
      <c r="G990" t="inlineStr">
        <is>
          <t>VÄXJÖ</t>
        </is>
      </c>
      <c r="I990" t="n">
        <v>0.9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s="2" t="inlineStr"/>
    </row>
    <row r="991" ht="15" customHeight="1">
      <c r="A991" t="inlineStr">
        <is>
          <t>A 42081-2026</t>
        </is>
      </c>
      <c r="B991" t="inlineStr">
        <is>
          <t>avverkningsanmälan</t>
        </is>
      </c>
      <c r="C991" t="inlineStr">
        <is>
          <t>Föryngringsavverkning</t>
        </is>
      </c>
      <c r="D991" s="1" t="n">
        <v>46304</v>
      </c>
      <c r="E991" s="1" t="n">
        <v>46314</v>
      </c>
      <c r="F991" t="inlineStr">
        <is>
          <t>KRONOBERGS LÄN</t>
        </is>
      </c>
      <c r="G991" t="inlineStr">
        <is>
          <t>VÄXJÖ</t>
        </is>
      </c>
      <c r="I991" t="n">
        <v>2.1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s="2" t="inlineStr"/>
    </row>
    <row r="992" ht="15" customHeight="1">
      <c r="A992" t="inlineStr">
        <is>
          <t>A 25593-2025</t>
        </is>
      </c>
      <c r="B992" t="inlineStr">
        <is>
          <t>avverkningsanmälan</t>
        </is>
      </c>
      <c r="C992" t="inlineStr">
        <is>
          <t>Föryngringsavverkning</t>
        </is>
      </c>
      <c r="D992" s="1" t="n">
        <v>45803</v>
      </c>
      <c r="E992" s="1" t="n">
        <v>46314</v>
      </c>
      <c r="F992" t="inlineStr">
        <is>
          <t>KRONOBERGS LÄN</t>
        </is>
      </c>
      <c r="G992" t="inlineStr">
        <is>
          <t>VÄXJÖ</t>
        </is>
      </c>
      <c r="I992" t="n">
        <v>0.6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s="2" t="inlineStr"/>
    </row>
    <row r="993" ht="15" customHeight="1">
      <c r="A993" t="inlineStr">
        <is>
          <t>A 31140-2026</t>
        </is>
      </c>
      <c r="B993" t="inlineStr">
        <is>
          <t>avverkningsanmälan</t>
        </is>
      </c>
      <c r="C993" t="inlineStr">
        <is>
          <t>Föryngringsavverkning</t>
        </is>
      </c>
      <c r="D993" s="1" t="n">
        <v>46216</v>
      </c>
      <c r="E993" s="1" t="n">
        <v>46314</v>
      </c>
      <c r="F993" t="inlineStr">
        <is>
          <t>KRONOBERGS LÄN</t>
        </is>
      </c>
      <c r="G993" t="inlineStr">
        <is>
          <t>VÄXJÖ</t>
        </is>
      </c>
      <c r="I993" t="n">
        <v>1.8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s="2" t="inlineStr"/>
    </row>
    <row r="994" ht="15" customHeight="1">
      <c r="A994" t="inlineStr">
        <is>
          <t>A 31141-2026</t>
        </is>
      </c>
      <c r="B994" t="inlineStr">
        <is>
          <t>avverkningsanmälan</t>
        </is>
      </c>
      <c r="C994" t="inlineStr">
        <is>
          <t>Föryngringsavverkning</t>
        </is>
      </c>
      <c r="D994" s="1" t="n">
        <v>46216</v>
      </c>
      <c r="E994" s="1" t="n">
        <v>46314</v>
      </c>
      <c r="F994" t="inlineStr">
        <is>
          <t>KRONOBERGS LÄN</t>
        </is>
      </c>
      <c r="G994" t="inlineStr">
        <is>
          <t>VÄXJÖ</t>
        </is>
      </c>
      <c r="I994" t="n">
        <v>1.6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s="2" t="inlineStr"/>
    </row>
    <row r="995" ht="15" customHeight="1">
      <c r="A995" t="inlineStr">
        <is>
          <t>A 42417-2026</t>
        </is>
      </c>
      <c r="B995" t="inlineStr">
        <is>
          <t>avverkningsanmälan</t>
        </is>
      </c>
      <c r="C995" t="inlineStr">
        <is>
          <t>Föryngringsavverkning</t>
        </is>
      </c>
      <c r="D995" s="1" t="n">
        <v>46308</v>
      </c>
      <c r="E995" s="1" t="n">
        <v>46314</v>
      </c>
      <c r="F995" t="inlineStr">
        <is>
          <t>KRONOBERGS LÄN</t>
        </is>
      </c>
      <c r="G995" t="inlineStr">
        <is>
          <t>VÄXJÖ</t>
        </is>
      </c>
      <c r="I995" t="n">
        <v>7.2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s="2" t="inlineStr"/>
    </row>
    <row r="996" ht="15" customHeight="1">
      <c r="A996" t="inlineStr">
        <is>
          <t>A 887-2025</t>
        </is>
      </c>
      <c r="B996" t="inlineStr">
        <is>
          <t>avverkningsanmälan</t>
        </is>
      </c>
      <c r="C996" t="inlineStr">
        <is>
          <t>Föryngringsavverkning</t>
        </is>
      </c>
      <c r="D996" s="1" t="n">
        <v>45665</v>
      </c>
      <c r="E996" s="1" t="n">
        <v>46314</v>
      </c>
      <c r="F996" t="inlineStr">
        <is>
          <t>KRONOBERGS LÄN</t>
        </is>
      </c>
      <c r="G996" t="inlineStr">
        <is>
          <t>VÄXJÖ</t>
        </is>
      </c>
      <c r="I996" t="n">
        <v>1.7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s="2" t="inlineStr"/>
    </row>
    <row r="997" ht="15" customHeight="1">
      <c r="A997" t="inlineStr">
        <is>
          <t>A 15930-2025</t>
        </is>
      </c>
      <c r="B997" t="inlineStr">
        <is>
          <t>avverkningsanmälan</t>
        </is>
      </c>
      <c r="C997" t="inlineStr">
        <is>
          <t>Föryngringsavverkning</t>
        </is>
      </c>
      <c r="D997" s="1" t="n">
        <v>45749</v>
      </c>
      <c r="E997" s="1" t="n">
        <v>46314</v>
      </c>
      <c r="F997" t="inlineStr">
        <is>
          <t>KRONOBERGS LÄN</t>
        </is>
      </c>
      <c r="G997" t="inlineStr">
        <is>
          <t>VÄXJÖ</t>
        </is>
      </c>
      <c r="I997" t="n">
        <v>0.6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s="2" t="inlineStr"/>
    </row>
    <row r="998" ht="15" customHeight="1">
      <c r="A998" t="inlineStr">
        <is>
          <t>A 26072-2025</t>
        </is>
      </c>
      <c r="B998" t="inlineStr">
        <is>
          <t>avverkningsanmälan</t>
        </is>
      </c>
      <c r="C998" t="inlineStr">
        <is>
          <t>Avverkning för annat ändamål</t>
        </is>
      </c>
      <c r="D998" s="1" t="n">
        <v>45805</v>
      </c>
      <c r="E998" s="1" t="n">
        <v>46314</v>
      </c>
      <c r="F998" t="inlineStr">
        <is>
          <t>KRONOBERGS LÄN</t>
        </is>
      </c>
      <c r="G998" t="inlineStr">
        <is>
          <t>VÄXJÖ</t>
        </is>
      </c>
      <c r="I998" t="n">
        <v>0.4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s="2" t="inlineStr"/>
    </row>
    <row r="999" ht="15" customHeight="1">
      <c r="A999" t="inlineStr">
        <is>
          <t>A 31775-2026</t>
        </is>
      </c>
      <c r="B999" t="inlineStr">
        <is>
          <t>avverkningsanmälan</t>
        </is>
      </c>
      <c r="C999" t="inlineStr">
        <is>
          <t>Föryngringsavverkning</t>
        </is>
      </c>
      <c r="D999" s="1" t="n">
        <v>46230</v>
      </c>
      <c r="E999" s="1" t="n">
        <v>46314</v>
      </c>
      <c r="F999" t="inlineStr">
        <is>
          <t>KRONOBERGS LÄN</t>
        </is>
      </c>
      <c r="G999" t="inlineStr">
        <is>
          <t>VÄXJÖ</t>
        </is>
      </c>
      <c r="I999" t="n">
        <v>3.4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s="2" t="inlineStr"/>
    </row>
    <row r="1000" ht="15" customHeight="1">
      <c r="A1000" t="inlineStr">
        <is>
          <t>A 18699-2025</t>
        </is>
      </c>
      <c r="B1000" t="inlineStr">
        <is>
          <t>avverkningsanmälan</t>
        </is>
      </c>
      <c r="C1000" t="inlineStr">
        <is>
          <t>Föryngringsavverkning</t>
        </is>
      </c>
      <c r="D1000" s="1" t="n">
        <v>45763</v>
      </c>
      <c r="E1000" s="1" t="n">
        <v>46314</v>
      </c>
      <c r="F1000" t="inlineStr">
        <is>
          <t>KRONOBERGS LÄN</t>
        </is>
      </c>
      <c r="G1000" t="inlineStr">
        <is>
          <t>VÄXJÖ</t>
        </is>
      </c>
      <c r="I1000" t="n">
        <v>4.1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s="2" t="inlineStr"/>
    </row>
    <row r="1001" ht="15" customHeight="1">
      <c r="A1001" t="inlineStr">
        <is>
          <t>A 22520-2024</t>
        </is>
      </c>
      <c r="B1001" t="inlineStr">
        <is>
          <t>avverkningsanmälan</t>
        </is>
      </c>
      <c r="C1001" t="inlineStr">
        <is>
          <t>Föryngringsavverkning</t>
        </is>
      </c>
      <c r="D1001" s="1" t="n">
        <v>45447</v>
      </c>
      <c r="E1001" s="1" t="n">
        <v>46314</v>
      </c>
      <c r="F1001" t="inlineStr">
        <is>
          <t>KRONOBERGS LÄN</t>
        </is>
      </c>
      <c r="G1001" t="inlineStr">
        <is>
          <t>VÄXJÖ</t>
        </is>
      </c>
      <c r="I1001" t="n">
        <v>2.6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s="2" t="inlineStr"/>
    </row>
    <row r="1002" ht="15" customHeight="1">
      <c r="A1002" t="inlineStr">
        <is>
          <t>A 31142-2026</t>
        </is>
      </c>
      <c r="B1002" t="inlineStr">
        <is>
          <t>avverkningsanmälan</t>
        </is>
      </c>
      <c r="C1002" t="inlineStr">
        <is>
          <t>Föryngringsavverkning</t>
        </is>
      </c>
      <c r="D1002" s="1" t="n">
        <v>46216</v>
      </c>
      <c r="E1002" s="1" t="n">
        <v>46314</v>
      </c>
      <c r="F1002" t="inlineStr">
        <is>
          <t>KRONOBERGS LÄN</t>
        </is>
      </c>
      <c r="G1002" t="inlineStr">
        <is>
          <t>VÄXJÖ</t>
        </is>
      </c>
      <c r="I1002" t="n">
        <v>0.7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s="2" t="inlineStr"/>
    </row>
    <row r="1003" ht="15" customHeight="1">
      <c r="A1003" t="inlineStr">
        <is>
          <t>A 33050-2026</t>
        </is>
      </c>
      <c r="B1003" t="inlineStr">
        <is>
          <t>avverkningsanmälan</t>
        </is>
      </c>
      <c r="C1003" t="inlineStr">
        <is>
          <t>Föryngringsavverkning</t>
        </is>
      </c>
      <c r="D1003" s="1" t="n">
        <v>46245</v>
      </c>
      <c r="E1003" s="1" t="n">
        <v>46314</v>
      </c>
      <c r="F1003" t="inlineStr">
        <is>
          <t>KRONOBERGS LÄN</t>
        </is>
      </c>
      <c r="G1003" t="inlineStr">
        <is>
          <t>VÄXJÖ</t>
        </is>
      </c>
      <c r="I1003" t="n">
        <v>7.4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s="2" t="inlineStr"/>
    </row>
    <row r="1004" ht="15" customHeight="1">
      <c r="A1004" t="inlineStr">
        <is>
          <t>A 28081-2025</t>
        </is>
      </c>
      <c r="B1004" t="inlineStr">
        <is>
          <t>avverkningsanmälan</t>
        </is>
      </c>
      <c r="C1004" t="inlineStr">
        <is>
          <t>Föryngringsavverkning</t>
        </is>
      </c>
      <c r="D1004" s="1" t="n">
        <v>45817</v>
      </c>
      <c r="E1004" s="1" t="n">
        <v>46314</v>
      </c>
      <c r="F1004" t="inlineStr">
        <is>
          <t>KRONOBERGS LÄN</t>
        </is>
      </c>
      <c r="G1004" t="inlineStr">
        <is>
          <t>VÄXJÖ</t>
        </is>
      </c>
      <c r="I1004" t="n">
        <v>0.5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s="2" t="inlineStr"/>
    </row>
    <row r="1005" ht="15" customHeight="1">
      <c r="A1005" t="inlineStr">
        <is>
          <t>A 19349-2025</t>
        </is>
      </c>
      <c r="B1005" t="inlineStr">
        <is>
          <t>avverkningsanmälan</t>
        </is>
      </c>
      <c r="C1005" t="inlineStr">
        <is>
          <t>Avverkning för annat ändamål</t>
        </is>
      </c>
      <c r="D1005" s="1" t="n">
        <v>45769</v>
      </c>
      <c r="E1005" s="1" t="n">
        <v>46314</v>
      </c>
      <c r="F1005" t="inlineStr">
        <is>
          <t>KRONOBERGS LÄN</t>
        </is>
      </c>
      <c r="G1005" t="inlineStr">
        <is>
          <t>VÄXJÖ</t>
        </is>
      </c>
      <c r="I1005" t="n">
        <v>0.5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s="2" t="inlineStr"/>
    </row>
    <row r="1006" ht="15" customHeight="1">
      <c r="A1006" t="inlineStr">
        <is>
          <t>A 28907-2025</t>
        </is>
      </c>
      <c r="B1006" t="inlineStr">
        <is>
          <t>avverkningsanmälan</t>
        </is>
      </c>
      <c r="C1006" t="inlineStr">
        <is>
          <t>Föryngringsavverkning</t>
        </is>
      </c>
      <c r="D1006" s="1" t="n">
        <v>45820</v>
      </c>
      <c r="E1006" s="1" t="n">
        <v>46314</v>
      </c>
      <c r="F1006" t="inlineStr">
        <is>
          <t>KRONOBERGS LÄN</t>
        </is>
      </c>
      <c r="G1006" t="inlineStr">
        <is>
          <t>VÄXJÖ</t>
        </is>
      </c>
      <c r="I1006" t="n">
        <v>14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s="2" t="inlineStr"/>
    </row>
    <row r="1007" ht="15" customHeight="1">
      <c r="A1007" t="inlineStr">
        <is>
          <t>A 28904-2025</t>
        </is>
      </c>
      <c r="B1007" t="inlineStr">
        <is>
          <t>avverkningsanmälan</t>
        </is>
      </c>
      <c r="C1007" t="inlineStr">
        <is>
          <t>Föryngringsavverkning</t>
        </is>
      </c>
      <c r="D1007" s="1" t="n">
        <v>45820</v>
      </c>
      <c r="E1007" s="1" t="n">
        <v>46314</v>
      </c>
      <c r="F1007" t="inlineStr">
        <is>
          <t>KRONOBERGS LÄN</t>
        </is>
      </c>
      <c r="G1007" t="inlineStr">
        <is>
          <t>VÄXJÖ</t>
        </is>
      </c>
      <c r="I1007" t="n">
        <v>3.6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s="2" t="inlineStr"/>
    </row>
    <row r="1008" ht="15" customHeight="1">
      <c r="A1008" t="inlineStr">
        <is>
          <t>A 28174-2025</t>
        </is>
      </c>
      <c r="B1008" t="inlineStr">
        <is>
          <t>avverkningsanmälan</t>
        </is>
      </c>
      <c r="C1008" t="inlineStr">
        <is>
          <t>Föryngringsavverkning</t>
        </is>
      </c>
      <c r="D1008" s="1" t="n">
        <v>45818</v>
      </c>
      <c r="E1008" s="1" t="n">
        <v>46314</v>
      </c>
      <c r="F1008" t="inlineStr">
        <is>
          <t>KRONOBERGS LÄN</t>
        </is>
      </c>
      <c r="G1008" t="inlineStr">
        <is>
          <t>VÄXJÖ</t>
        </is>
      </c>
      <c r="I1008" t="n">
        <v>7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s="2" t="inlineStr"/>
    </row>
    <row r="1009" ht="15" customHeight="1">
      <c r="A1009" t="inlineStr">
        <is>
          <t>A 29799-2025</t>
        </is>
      </c>
      <c r="B1009" t="inlineStr">
        <is>
          <t>avverkningsanmälan</t>
        </is>
      </c>
      <c r="C1009" t="inlineStr">
        <is>
          <t>Föryngringsavverkning</t>
        </is>
      </c>
      <c r="D1009" s="1" t="n">
        <v>45825</v>
      </c>
      <c r="E1009" s="1" t="n">
        <v>46314</v>
      </c>
      <c r="F1009" t="inlineStr">
        <is>
          <t>KRONOBERGS LÄN</t>
        </is>
      </c>
      <c r="G1009" t="inlineStr">
        <is>
          <t>VÄXJÖ</t>
        </is>
      </c>
      <c r="I1009" t="n">
        <v>0.5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s="2" t="inlineStr"/>
    </row>
    <row r="1010" ht="15" customHeight="1">
      <c r="A1010" t="inlineStr">
        <is>
          <t>A 29324-2025</t>
        </is>
      </c>
      <c r="B1010" t="inlineStr">
        <is>
          <t>avverkningsanmälan</t>
        </is>
      </c>
      <c r="C1010" t="inlineStr">
        <is>
          <t>Föryngringsavverkning</t>
        </is>
      </c>
      <c r="D1010" s="1" t="n">
        <v>45824</v>
      </c>
      <c r="E1010" s="1" t="n">
        <v>46314</v>
      </c>
      <c r="F1010" t="inlineStr">
        <is>
          <t>KRONOBERGS LÄN</t>
        </is>
      </c>
      <c r="G1010" t="inlineStr">
        <is>
          <t>VÄXJÖ</t>
        </is>
      </c>
      <c r="I1010" t="n">
        <v>2.2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s="2" t="inlineStr"/>
    </row>
    <row r="1011" ht="15" customHeight="1">
      <c r="A1011" t="inlineStr">
        <is>
          <t>A 29326-2025</t>
        </is>
      </c>
      <c r="B1011" t="inlineStr">
        <is>
          <t>avverkningsanmälan</t>
        </is>
      </c>
      <c r="C1011" t="inlineStr">
        <is>
          <t>Föryngringsavverkning</t>
        </is>
      </c>
      <c r="D1011" s="1" t="n">
        <v>45824</v>
      </c>
      <c r="E1011" s="1" t="n">
        <v>46314</v>
      </c>
      <c r="F1011" t="inlineStr">
        <is>
          <t>KRONOBERGS LÄN</t>
        </is>
      </c>
      <c r="G1011" t="inlineStr">
        <is>
          <t>VÄXJÖ</t>
        </is>
      </c>
      <c r="I1011" t="n">
        <v>1.3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s="2" t="inlineStr"/>
    </row>
    <row r="1012" ht="15" customHeight="1">
      <c r="A1012" t="inlineStr">
        <is>
          <t>A 36547-2026</t>
        </is>
      </c>
      <c r="B1012" t="inlineStr">
        <is>
          <t>avverkningsanmälan</t>
        </is>
      </c>
      <c r="C1012" t="inlineStr">
        <is>
          <t>Föryngringsavverkning</t>
        </is>
      </c>
      <c r="D1012" s="1" t="n">
        <v>46269</v>
      </c>
      <c r="E1012" s="1" t="n">
        <v>46314</v>
      </c>
      <c r="F1012" t="inlineStr">
        <is>
          <t>KRONOBERGS LÄN</t>
        </is>
      </c>
      <c r="G1012" t="inlineStr">
        <is>
          <t>VÄXJÖ</t>
        </is>
      </c>
      <c r="I1012" t="n">
        <v>2.2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s="2" t="inlineStr"/>
    </row>
    <row r="1013" ht="15" customHeight="1">
      <c r="A1013" t="inlineStr">
        <is>
          <t>A 30321-2025</t>
        </is>
      </c>
      <c r="B1013" t="inlineStr">
        <is>
          <t>avverkningsanmälan</t>
        </is>
      </c>
      <c r="C1013" t="inlineStr">
        <is>
          <t>Föryngringsavverkning</t>
        </is>
      </c>
      <c r="D1013" s="1" t="n">
        <v>45827</v>
      </c>
      <c r="E1013" s="1" t="n">
        <v>46314</v>
      </c>
      <c r="F1013" t="inlineStr">
        <is>
          <t>KRONOBERGS LÄN</t>
        </is>
      </c>
      <c r="G1013" t="inlineStr">
        <is>
          <t>VÄXJÖ</t>
        </is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s="2" t="inlineStr"/>
    </row>
    <row r="1014" ht="15" customHeight="1">
      <c r="A1014" t="inlineStr">
        <is>
          <t>A 30683-2025</t>
        </is>
      </c>
      <c r="B1014" t="inlineStr">
        <is>
          <t>avverkningsanmälan</t>
        </is>
      </c>
      <c r="C1014" t="inlineStr">
        <is>
          <t>Föryngringsavverkning</t>
        </is>
      </c>
      <c r="D1014" s="1" t="n">
        <v>45831</v>
      </c>
      <c r="E1014" s="1" t="n">
        <v>46314</v>
      </c>
      <c r="F1014" t="inlineStr">
        <is>
          <t>KRONOBERGS LÄN</t>
        </is>
      </c>
      <c r="G1014" t="inlineStr">
        <is>
          <t>VÄXJÖ</t>
        </is>
      </c>
      <c r="I1014" t="n">
        <v>3.2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s="2" t="inlineStr"/>
    </row>
    <row r="1015" ht="15" customHeight="1">
      <c r="A1015" t="inlineStr">
        <is>
          <t>A 30643-2025</t>
        </is>
      </c>
      <c r="B1015" t="inlineStr">
        <is>
          <t>avverkningsanmälan</t>
        </is>
      </c>
      <c r="C1015" t="inlineStr">
        <is>
          <t>Föryngringsavverkning</t>
        </is>
      </c>
      <c r="D1015" s="1" t="n">
        <v>45831</v>
      </c>
      <c r="E1015" s="1" t="n">
        <v>46314</v>
      </c>
      <c r="F1015" t="inlineStr">
        <is>
          <t>KRONOBERGS LÄN</t>
        </is>
      </c>
      <c r="G1015" t="inlineStr">
        <is>
          <t>VÄXJÖ</t>
        </is>
      </c>
      <c r="I1015" t="n">
        <v>0.6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s="2" t="inlineStr"/>
    </row>
    <row r="1016" ht="15" customHeight="1">
      <c r="A1016" t="inlineStr">
        <is>
          <t>A 31243-2025</t>
        </is>
      </c>
      <c r="B1016" t="inlineStr">
        <is>
          <t>avverkningsanmälan</t>
        </is>
      </c>
      <c r="C1016" t="inlineStr">
        <is>
          <t>Föryngringsavverkning</t>
        </is>
      </c>
      <c r="D1016" s="1" t="n">
        <v>45832</v>
      </c>
      <c r="E1016" s="1" t="n">
        <v>46314</v>
      </c>
      <c r="F1016" t="inlineStr">
        <is>
          <t>KRONOBERGS LÄN</t>
        </is>
      </c>
      <c r="G1016" t="inlineStr">
        <is>
          <t>VÄXJÖ</t>
        </is>
      </c>
      <c r="I1016" t="n">
        <v>10.6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s="2" t="inlineStr"/>
    </row>
    <row r="1017" ht="15" customHeight="1">
      <c r="A1017" t="inlineStr">
        <is>
          <t>A 26068-2025</t>
        </is>
      </c>
      <c r="B1017" t="inlineStr">
        <is>
          <t>avverkningsanmälan</t>
        </is>
      </c>
      <c r="C1017" t="inlineStr">
        <is>
          <t>Avverkning för annat ändamål</t>
        </is>
      </c>
      <c r="D1017" s="1" t="n">
        <v>45805</v>
      </c>
      <c r="E1017" s="1" t="n">
        <v>46314</v>
      </c>
      <c r="F1017" t="inlineStr">
        <is>
          <t>KRONOBERGS LÄN</t>
        </is>
      </c>
      <c r="G1017" t="inlineStr">
        <is>
          <t>VÄXJÖ</t>
        </is>
      </c>
      <c r="I1017" t="n">
        <v>0.7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s="2" t="inlineStr"/>
    </row>
    <row r="1018" ht="15" customHeight="1">
      <c r="A1018" t="inlineStr">
        <is>
          <t>A 32078-2025</t>
        </is>
      </c>
      <c r="B1018" t="inlineStr">
        <is>
          <t>avverkningsanmälan</t>
        </is>
      </c>
      <c r="C1018" t="inlineStr">
        <is>
          <t>Föryngringsavverkning</t>
        </is>
      </c>
      <c r="D1018" s="1" t="n">
        <v>45835</v>
      </c>
      <c r="E1018" s="1" t="n">
        <v>46314</v>
      </c>
      <c r="F1018" t="inlineStr">
        <is>
          <t>KRONOBERGS LÄN</t>
        </is>
      </c>
      <c r="G1018" t="inlineStr">
        <is>
          <t>VÄXJÖ</t>
        </is>
      </c>
      <c r="I1018" t="n">
        <v>1.8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s="2" t="inlineStr"/>
    </row>
    <row r="1019" ht="15" customHeight="1">
      <c r="A1019" t="inlineStr">
        <is>
          <t>A 32080-2025</t>
        </is>
      </c>
      <c r="B1019" t="inlineStr">
        <is>
          <t>avverkningsanmälan</t>
        </is>
      </c>
      <c r="C1019" t="inlineStr">
        <is>
          <t>Föryngringsavverkning</t>
        </is>
      </c>
      <c r="D1019" s="1" t="n">
        <v>45835</v>
      </c>
      <c r="E1019" s="1" t="n">
        <v>46314</v>
      </c>
      <c r="F1019" t="inlineStr">
        <is>
          <t>KRONOBERGS LÄN</t>
        </is>
      </c>
      <c r="G1019" t="inlineStr">
        <is>
          <t>VÄXJÖ</t>
        </is>
      </c>
      <c r="I1019" t="n">
        <v>2.1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s="2" t="inlineStr"/>
    </row>
    <row r="1020" ht="15" customHeight="1">
      <c r="A1020" t="inlineStr">
        <is>
          <t>A 32000-2025</t>
        </is>
      </c>
      <c r="B1020" t="inlineStr">
        <is>
          <t>avverkningsanmälan</t>
        </is>
      </c>
      <c r="C1020" t="inlineStr">
        <is>
          <t>Föryngringsavverkning</t>
        </is>
      </c>
      <c r="D1020" s="1" t="n">
        <v>45835</v>
      </c>
      <c r="E1020" s="1" t="n">
        <v>46314</v>
      </c>
      <c r="F1020" t="inlineStr">
        <is>
          <t>KRONOBERGS LÄN</t>
        </is>
      </c>
      <c r="G1020" t="inlineStr">
        <is>
          <t>VÄXJÖ</t>
        </is>
      </c>
      <c r="I1020" t="n">
        <v>0.9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s="2" t="inlineStr"/>
    </row>
    <row r="1021" ht="15" customHeight="1">
      <c r="A1021" t="inlineStr">
        <is>
          <t>A 33066-2025</t>
        </is>
      </c>
      <c r="B1021" t="inlineStr">
        <is>
          <t>avverkningsanmälan</t>
        </is>
      </c>
      <c r="C1021" t="inlineStr">
        <is>
          <t>Föryngringsavverkning</t>
        </is>
      </c>
      <c r="D1021" s="1" t="n">
        <v>45840</v>
      </c>
      <c r="E1021" s="1" t="n">
        <v>46314</v>
      </c>
      <c r="F1021" t="inlineStr">
        <is>
          <t>KRONOBERGS LÄN</t>
        </is>
      </c>
      <c r="G1021" t="inlineStr">
        <is>
          <t>VÄXJÖ</t>
        </is>
      </c>
      <c r="I1021" t="n">
        <v>3.2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s="2" t="inlineStr"/>
    </row>
    <row r="1022" ht="15" customHeight="1">
      <c r="A1022" t="inlineStr">
        <is>
          <t>A 37375-2024</t>
        </is>
      </c>
      <c r="B1022" t="inlineStr">
        <is>
          <t>avverkningsanmälan</t>
        </is>
      </c>
      <c r="C1022" t="inlineStr">
        <is>
          <t>Föryngringsavverkning</t>
        </is>
      </c>
      <c r="D1022" s="1" t="n">
        <v>45540</v>
      </c>
      <c r="E1022" s="1" t="n">
        <v>46314</v>
      </c>
      <c r="F1022" t="inlineStr">
        <is>
          <t>KRONOBERGS LÄN</t>
        </is>
      </c>
      <c r="G1022" t="inlineStr">
        <is>
          <t>VÄXJÖ</t>
        </is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s="2" t="inlineStr"/>
    </row>
    <row r="1023" ht="15" customHeight="1">
      <c r="A1023" t="inlineStr">
        <is>
          <t>A 34348-2025</t>
        </is>
      </c>
      <c r="B1023" t="inlineStr">
        <is>
          <t>avverkningsanmälan</t>
        </is>
      </c>
      <c r="C1023" t="inlineStr">
        <is>
          <t>Föryngringsavverkning</t>
        </is>
      </c>
      <c r="D1023" s="1" t="n">
        <v>45846</v>
      </c>
      <c r="E1023" s="1" t="n">
        <v>46314</v>
      </c>
      <c r="F1023" t="inlineStr">
        <is>
          <t>KRONOBERGS LÄN</t>
        </is>
      </c>
      <c r="G1023" t="inlineStr">
        <is>
          <t>VÄXJÖ</t>
        </is>
      </c>
      <c r="I1023" t="n">
        <v>0.6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s="2" t="inlineStr"/>
    </row>
    <row r="1024" ht="15" customHeight="1">
      <c r="A1024" t="inlineStr">
        <is>
          <t>A 34549-2025</t>
        </is>
      </c>
      <c r="B1024" t="inlineStr">
        <is>
          <t>avverkningsanmälan</t>
        </is>
      </c>
      <c r="C1024" t="inlineStr">
        <is>
          <t>Föryngringsavverkning</t>
        </is>
      </c>
      <c r="D1024" s="1" t="n">
        <v>45847</v>
      </c>
      <c r="E1024" s="1" t="n">
        <v>46314</v>
      </c>
      <c r="F1024" t="inlineStr">
        <is>
          <t>KRONOBERGS LÄN</t>
        </is>
      </c>
      <c r="G1024" t="inlineStr">
        <is>
          <t>VÄXJÖ</t>
        </is>
      </c>
      <c r="I1024" t="n">
        <v>0.5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s="2" t="inlineStr"/>
    </row>
    <row r="1025" ht="15" customHeight="1">
      <c r="A1025" t="inlineStr">
        <is>
          <t>A 13859-2024</t>
        </is>
      </c>
      <c r="B1025" t="inlineStr">
        <is>
          <t>avverkningsanmälan</t>
        </is>
      </c>
      <c r="C1025" t="inlineStr">
        <is>
          <t>Föryngringsavverkning</t>
        </is>
      </c>
      <c r="D1025" s="1" t="n">
        <v>45390</v>
      </c>
      <c r="E1025" s="1" t="n">
        <v>46314</v>
      </c>
      <c r="F1025" t="inlineStr">
        <is>
          <t>KRONOBERGS LÄN</t>
        </is>
      </c>
      <c r="G1025" t="inlineStr">
        <is>
          <t>VÄXJÖ</t>
        </is>
      </c>
      <c r="I1025" t="n">
        <v>1.8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s="2" t="inlineStr"/>
    </row>
    <row r="1026" ht="15" customHeight="1">
      <c r="A1026" t="inlineStr">
        <is>
          <t>A 35251-2025</t>
        </is>
      </c>
      <c r="B1026" t="inlineStr">
        <is>
          <t>avverkningsanmälan</t>
        </is>
      </c>
      <c r="C1026" t="inlineStr">
        <is>
          <t>Föryngringsavverkning</t>
        </is>
      </c>
      <c r="D1026" s="1" t="n">
        <v>45853</v>
      </c>
      <c r="E1026" s="1" t="n">
        <v>46314</v>
      </c>
      <c r="F1026" t="inlineStr">
        <is>
          <t>KRONOBERGS LÄN</t>
        </is>
      </c>
      <c r="G1026" t="inlineStr">
        <is>
          <t>VÄXJÖ</t>
        </is>
      </c>
      <c r="I1026" t="n">
        <v>0.6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s="2" t="inlineStr"/>
    </row>
    <row r="1027" ht="15" customHeight="1">
      <c r="A1027" t="inlineStr">
        <is>
          <t>A 14226-2025</t>
        </is>
      </c>
      <c r="B1027" t="inlineStr">
        <is>
          <t>avverkningsanmälan</t>
        </is>
      </c>
      <c r="C1027" t="inlineStr">
        <is>
          <t>Föryngringsavverkning</t>
        </is>
      </c>
      <c r="D1027" s="1" t="n">
        <v>45740</v>
      </c>
      <c r="E1027" s="1" t="n">
        <v>46314</v>
      </c>
      <c r="F1027" t="inlineStr">
        <is>
          <t>KRONOBERGS LÄN</t>
        </is>
      </c>
      <c r="G1027" t="inlineStr">
        <is>
          <t>VÄXJÖ</t>
        </is>
      </c>
      <c r="I1027" t="n">
        <v>2.7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s="2" t="inlineStr"/>
    </row>
    <row r="1028" ht="15" customHeight="1">
      <c r="A1028" t="inlineStr">
        <is>
          <t>A 62123-2023</t>
        </is>
      </c>
      <c r="B1028" t="inlineStr">
        <is>
          <t>avverkningsanmälan</t>
        </is>
      </c>
      <c r="C1028" t="inlineStr">
        <is>
          <t>Föryngringsavverkning</t>
        </is>
      </c>
      <c r="D1028" s="1" t="n">
        <v>45267</v>
      </c>
      <c r="E1028" s="1" t="n">
        <v>46314</v>
      </c>
      <c r="F1028" t="inlineStr">
        <is>
          <t>KRONOBERGS LÄN</t>
        </is>
      </c>
      <c r="G1028" t="inlineStr">
        <is>
          <t>VÄXJÖ</t>
        </is>
      </c>
      <c r="I1028" t="n">
        <v>1.5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s="2" t="inlineStr"/>
    </row>
    <row r="1029" ht="15" customHeight="1">
      <c r="A1029" t="inlineStr">
        <is>
          <t>A 12645-2024</t>
        </is>
      </c>
      <c r="B1029" t="inlineStr">
        <is>
          <t>avverkningsanmälan</t>
        </is>
      </c>
      <c r="C1029" t="inlineStr">
        <is>
          <t>Föryngringsavverkning</t>
        </is>
      </c>
      <c r="D1029" s="1" t="n">
        <v>45384</v>
      </c>
      <c r="E1029" s="1" t="n">
        <v>46314</v>
      </c>
      <c r="F1029" t="inlineStr">
        <is>
          <t>KRONOBERGS LÄN</t>
        </is>
      </c>
      <c r="G1029" t="inlineStr">
        <is>
          <t>VÄXJÖ</t>
        </is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s="2" t="inlineStr"/>
    </row>
    <row r="1030" ht="15" customHeight="1">
      <c r="A1030" t="inlineStr">
        <is>
          <t>A 29165-2023</t>
        </is>
      </c>
      <c r="B1030" t="inlineStr">
        <is>
          <t>avverkningsanmälan</t>
        </is>
      </c>
      <c r="C1030" t="inlineStr">
        <is>
          <t>Föryngringsavverkning</t>
        </is>
      </c>
      <c r="D1030" s="1" t="n">
        <v>45097</v>
      </c>
      <c r="E1030" s="1" t="n">
        <v>46314</v>
      </c>
      <c r="F1030" t="inlineStr">
        <is>
          <t>KRONOBERGS LÄN</t>
        </is>
      </c>
      <c r="G1030" t="inlineStr">
        <is>
          <t>VÄXJÖ</t>
        </is>
      </c>
      <c r="H1030" t="inlineStr">
        <is>
          <t>Kyrkan</t>
        </is>
      </c>
      <c r="I1030" t="n">
        <v>6.8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s="2" t="inlineStr"/>
    </row>
    <row r="1031" ht="15" customHeight="1">
      <c r="A1031" t="inlineStr">
        <is>
          <t>A 21515-2025</t>
        </is>
      </c>
      <c r="B1031" t="inlineStr">
        <is>
          <t>avverkningsanmälan</t>
        </is>
      </c>
      <c r="C1031" t="inlineStr">
        <is>
          <t>Föryngringsavverkning</t>
        </is>
      </c>
      <c r="D1031" s="1" t="n">
        <v>45782</v>
      </c>
      <c r="E1031" s="1" t="n">
        <v>46314</v>
      </c>
      <c r="F1031" t="inlineStr">
        <is>
          <t>KRONOBERGS LÄN</t>
        </is>
      </c>
      <c r="G1031" t="inlineStr">
        <is>
          <t>VÄXJÖ</t>
        </is>
      </c>
      <c r="I1031" t="n">
        <v>1.7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s="2" t="inlineStr"/>
    </row>
    <row r="1032" ht="15" customHeight="1">
      <c r="A1032" t="inlineStr">
        <is>
          <t>A 36866-2025</t>
        </is>
      </c>
      <c r="B1032" t="inlineStr">
        <is>
          <t>avverkningsanmälan</t>
        </is>
      </c>
      <c r="C1032" t="inlineStr">
        <is>
          <t>Föryngringsavverkning</t>
        </is>
      </c>
      <c r="D1032" s="1" t="n">
        <v>45874</v>
      </c>
      <c r="E1032" s="1" t="n">
        <v>46314</v>
      </c>
      <c r="F1032" t="inlineStr">
        <is>
          <t>KRONOBERGS LÄN</t>
        </is>
      </c>
      <c r="G1032" t="inlineStr">
        <is>
          <t>VÄXJÖ</t>
        </is>
      </c>
      <c r="I1032" t="n">
        <v>10.9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s="2" t="inlineStr"/>
    </row>
    <row r="1033" ht="15" customHeight="1">
      <c r="A1033" t="inlineStr">
        <is>
          <t>S 1547-2023</t>
        </is>
      </c>
      <c r="B1033" t="inlineStr">
        <is>
          <t>samrådsanmälan</t>
        </is>
      </c>
      <c r="C1033" t="inlineStr">
        <is>
          <t>Askåterföring</t>
        </is>
      </c>
      <c r="D1033" s="1" t="n">
        <v>45054</v>
      </c>
      <c r="E1033" s="1" t="n">
        <v>46314</v>
      </c>
      <c r="F1033" t="inlineStr">
        <is>
          <t>KRONOBERGS LÄN</t>
        </is>
      </c>
      <c r="G1033" t="inlineStr">
        <is>
          <t>VÄXJÖ</t>
        </is>
      </c>
      <c r="I1033" t="n">
        <v>4.1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s="2" t="inlineStr"/>
    </row>
    <row r="1034" ht="15" customHeight="1">
      <c r="A1034" t="inlineStr">
        <is>
          <t>S 3880-2023</t>
        </is>
      </c>
      <c r="B1034" t="inlineStr">
        <is>
          <t>samrådsanmälan</t>
        </is>
      </c>
      <c r="C1034" t="inlineStr">
        <is>
          <t>Askåterföring</t>
        </is>
      </c>
      <c r="D1034" s="1" t="n">
        <v>45230</v>
      </c>
      <c r="E1034" s="1" t="n">
        <v>46314</v>
      </c>
      <c r="F1034" t="inlineStr">
        <is>
          <t>KRONOBERGS LÄN</t>
        </is>
      </c>
      <c r="G1034" t="inlineStr">
        <is>
          <t>VÄXJÖ</t>
        </is>
      </c>
      <c r="H1034" t="inlineStr">
        <is>
          <t>Övriga Aktiebolag</t>
        </is>
      </c>
      <c r="I1034" t="n">
        <v>8.9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s="2" t="inlineStr"/>
    </row>
    <row r="1035" ht="15" customHeight="1">
      <c r="A1035" t="inlineStr">
        <is>
          <t>S 8484-2021</t>
        </is>
      </c>
      <c r="B1035" t="inlineStr">
        <is>
          <t>samrådsanmälan</t>
        </is>
      </c>
      <c r="C1035" t="inlineStr">
        <is>
          <t>Skogsbilväg</t>
        </is>
      </c>
      <c r="D1035" s="1" t="n">
        <v>44498</v>
      </c>
      <c r="E1035" s="1" t="n">
        <v>46314</v>
      </c>
      <c r="F1035" t="inlineStr">
        <is>
          <t>KRONOBERGS LÄN</t>
        </is>
      </c>
      <c r="G1035" t="inlineStr">
        <is>
          <t>VÄXJÖ</t>
        </is>
      </c>
      <c r="I1035" t="n">
        <v>3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s="2" t="inlineStr"/>
    </row>
    <row r="1036" ht="15" customHeight="1">
      <c r="A1036" t="inlineStr">
        <is>
          <t>S 4904-2024</t>
        </is>
      </c>
      <c r="B1036" t="inlineStr">
        <is>
          <t>samrådsanmälan</t>
        </is>
      </c>
      <c r="C1036" t="inlineStr">
        <is>
          <t>Annan skogsbruksåtgärd</t>
        </is>
      </c>
      <c r="D1036" s="1" t="n">
        <v>45622</v>
      </c>
      <c r="E1036" s="1" t="n">
        <v>46314</v>
      </c>
      <c r="F1036" t="inlineStr">
        <is>
          <t>KRONOBERGS LÄN</t>
        </is>
      </c>
      <c r="G1036" t="inlineStr">
        <is>
          <t>VÄXJÖ</t>
        </is>
      </c>
      <c r="I1036" t="n">
        <v>0.7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s="2" t="inlineStr"/>
    </row>
    <row r="1037" ht="15" customHeight="1">
      <c r="A1037" t="inlineStr">
        <is>
          <t>S 1546-2023</t>
        </is>
      </c>
      <c r="B1037" t="inlineStr">
        <is>
          <t>samrådsanmälan</t>
        </is>
      </c>
      <c r="C1037" t="inlineStr">
        <is>
          <t>Askåterföring</t>
        </is>
      </c>
      <c r="D1037" s="1" t="n">
        <v>45054</v>
      </c>
      <c r="E1037" s="1" t="n">
        <v>46314</v>
      </c>
      <c r="F1037" t="inlineStr">
        <is>
          <t>KRONOBERGS LÄN</t>
        </is>
      </c>
      <c r="G1037" t="inlineStr">
        <is>
          <t>VÄXJÖ</t>
        </is>
      </c>
      <c r="I1037" t="n">
        <v>1.6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s="2" t="inlineStr"/>
    </row>
    <row r="1038" ht="15" customHeight="1">
      <c r="A1038" t="inlineStr">
        <is>
          <t>S 1541-2023</t>
        </is>
      </c>
      <c r="B1038" t="inlineStr">
        <is>
          <t>samrådsanmälan</t>
        </is>
      </c>
      <c r="C1038" t="inlineStr">
        <is>
          <t>Askåterföring</t>
        </is>
      </c>
      <c r="D1038" s="1" t="n">
        <v>45054</v>
      </c>
      <c r="E1038" s="1" t="n">
        <v>46314</v>
      </c>
      <c r="F1038" t="inlineStr">
        <is>
          <t>KRONOBERGS LÄN</t>
        </is>
      </c>
      <c r="G1038" t="inlineStr">
        <is>
          <t>VÄXJÖ</t>
        </is>
      </c>
      <c r="I1038" t="n">
        <v>8.5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s="2" t="inlineStr"/>
    </row>
    <row r="1039" ht="15" customHeight="1">
      <c r="A1039" t="inlineStr">
        <is>
          <t>S 1591-2023</t>
        </is>
      </c>
      <c r="B1039" t="inlineStr">
        <is>
          <t>samrådsanmälan</t>
        </is>
      </c>
      <c r="C1039" t="inlineStr">
        <is>
          <t>Askåterföring</t>
        </is>
      </c>
      <c r="D1039" s="1" t="n">
        <v>45056</v>
      </c>
      <c r="E1039" s="1" t="n">
        <v>46314</v>
      </c>
      <c r="F1039" t="inlineStr">
        <is>
          <t>KRONOBERGS LÄN</t>
        </is>
      </c>
      <c r="G1039" t="inlineStr">
        <is>
          <t>VÄXJÖ</t>
        </is>
      </c>
      <c r="I1039" t="n">
        <v>18.3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s="2" t="inlineStr"/>
    </row>
    <row r="1040" ht="15" customHeight="1">
      <c r="A1040" t="inlineStr">
        <is>
          <t>S 3047-2022</t>
        </is>
      </c>
      <c r="B1040" t="inlineStr">
        <is>
          <t>samrådsanmälan</t>
        </is>
      </c>
      <c r="C1040" t="inlineStr">
        <is>
          <t>Annan skogsbruksåtgärd</t>
        </is>
      </c>
      <c r="D1040" s="1" t="n">
        <v>44715</v>
      </c>
      <c r="E1040" s="1" t="n">
        <v>46314</v>
      </c>
      <c r="F1040" t="inlineStr">
        <is>
          <t>KRONOBERGS LÄN</t>
        </is>
      </c>
      <c r="G1040" t="inlineStr">
        <is>
          <t>VÄXJÖ</t>
        </is>
      </c>
      <c r="I1040" t="n">
        <v>5.1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s="2" t="inlineStr"/>
    </row>
    <row r="1041" ht="15" customHeight="1">
      <c r="A1041" t="inlineStr">
        <is>
          <t>S 3232-2022</t>
        </is>
      </c>
      <c r="B1041" t="inlineStr">
        <is>
          <t>samrådsanmälan</t>
        </is>
      </c>
      <c r="C1041" t="inlineStr">
        <is>
          <t>Askåterföring</t>
        </is>
      </c>
      <c r="D1041" s="1" t="n">
        <v>44722</v>
      </c>
      <c r="E1041" s="1" t="n">
        <v>46314</v>
      </c>
      <c r="F1041" t="inlineStr">
        <is>
          <t>KRONOBERGS LÄN</t>
        </is>
      </c>
      <c r="G1041" t="inlineStr">
        <is>
          <t>VÄXJÖ</t>
        </is>
      </c>
      <c r="I1041" t="n">
        <v>40.2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s="2" t="inlineStr"/>
    </row>
    <row r="1042" ht="15" customHeight="1">
      <c r="A1042" t="inlineStr">
        <is>
          <t>S 1726-2024</t>
        </is>
      </c>
      <c r="B1042" t="inlineStr">
        <is>
          <t>samrådsanmälan</t>
        </is>
      </c>
      <c r="C1042" t="inlineStr">
        <is>
          <t>Askåterföring</t>
        </is>
      </c>
      <c r="D1042" s="1" t="n">
        <v>45434</v>
      </c>
      <c r="E1042" s="1" t="n">
        <v>46314</v>
      </c>
      <c r="F1042" t="inlineStr">
        <is>
          <t>KRONOBERGS LÄN</t>
        </is>
      </c>
      <c r="G1042" t="inlineStr">
        <is>
          <t>VÄXJÖ</t>
        </is>
      </c>
      <c r="I1042" t="n">
        <v>9.300000000000001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s="2" t="inlineStr"/>
    </row>
    <row r="1043" ht="15" customHeight="1">
      <c r="A1043" t="inlineStr">
        <is>
          <t>S 1542-2023</t>
        </is>
      </c>
      <c r="B1043" t="inlineStr">
        <is>
          <t>samrådsanmälan</t>
        </is>
      </c>
      <c r="C1043" t="inlineStr">
        <is>
          <t>Askåterföring</t>
        </is>
      </c>
      <c r="D1043" s="1" t="n">
        <v>45054</v>
      </c>
      <c r="E1043" s="1" t="n">
        <v>46314</v>
      </c>
      <c r="F1043" t="inlineStr">
        <is>
          <t>KRONOBERGS LÄN</t>
        </is>
      </c>
      <c r="G1043" t="inlineStr">
        <is>
          <t>VÄXJÖ</t>
        </is>
      </c>
      <c r="I1043" t="n">
        <v>5.6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s="2" t="inlineStr"/>
    </row>
    <row r="1044" ht="15" customHeight="1">
      <c r="A1044" t="inlineStr">
        <is>
          <t>S 1344-2024</t>
        </is>
      </c>
      <c r="B1044" t="inlineStr">
        <is>
          <t>samrådsanmälan</t>
        </is>
      </c>
      <c r="C1044" t="inlineStr">
        <is>
          <t>Annan skogsbruksåtgärd</t>
        </is>
      </c>
      <c r="D1044" s="1" t="n">
        <v>45407</v>
      </c>
      <c r="E1044" s="1" t="n">
        <v>46314</v>
      </c>
      <c r="F1044" t="inlineStr">
        <is>
          <t>KRONOBERGS LÄN</t>
        </is>
      </c>
      <c r="G1044" t="inlineStr">
        <is>
          <t>VÄXJÖ</t>
        </is>
      </c>
      <c r="I1044" t="n">
        <v>0.2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s="2" t="inlineStr"/>
    </row>
    <row r="1045" ht="15" customHeight="1">
      <c r="A1045" t="inlineStr">
        <is>
          <t>S 4783-2022</t>
        </is>
      </c>
      <c r="B1045" t="inlineStr">
        <is>
          <t>samrådsanmälan</t>
        </is>
      </c>
      <c r="C1045" t="inlineStr">
        <is>
          <t>Annan skogsbruksåtgärd</t>
        </is>
      </c>
      <c r="D1045" s="1" t="n">
        <v>44802</v>
      </c>
      <c r="E1045" s="1" t="n">
        <v>46314</v>
      </c>
      <c r="F1045" t="inlineStr">
        <is>
          <t>KRONOBERGS LÄN</t>
        </is>
      </c>
      <c r="G1045" t="inlineStr">
        <is>
          <t>VÄXJÖ</t>
        </is>
      </c>
      <c r="I1045" t="n">
        <v>1.2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s="2" t="inlineStr"/>
    </row>
    <row r="1046" ht="15" customHeight="1">
      <c r="A1046" t="inlineStr">
        <is>
          <t>S 1795-2023</t>
        </is>
      </c>
      <c r="B1046" t="inlineStr">
        <is>
          <t>samrådsanmälan</t>
        </is>
      </c>
      <c r="C1046" t="inlineStr">
        <is>
          <t>Askåterföring</t>
        </is>
      </c>
      <c r="D1046" s="1" t="n">
        <v>45071</v>
      </c>
      <c r="E1046" s="1" t="n">
        <v>46314</v>
      </c>
      <c r="F1046" t="inlineStr">
        <is>
          <t>KRONOBERGS LÄN</t>
        </is>
      </c>
      <c r="G1046" t="inlineStr">
        <is>
          <t>VÄXJÖ</t>
        </is>
      </c>
      <c r="I1046" t="n">
        <v>8.4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s="2" t="inlineStr"/>
    </row>
    <row r="1047" ht="15" customHeight="1">
      <c r="A1047" t="inlineStr">
        <is>
          <t>S 8459-2021</t>
        </is>
      </c>
      <c r="B1047" t="inlineStr">
        <is>
          <t>samrådsanmälan</t>
        </is>
      </c>
      <c r="C1047" t="inlineStr">
        <is>
          <t>Annan skogsbruksåtgärd</t>
        </is>
      </c>
      <c r="D1047" s="1" t="n">
        <v>44495</v>
      </c>
      <c r="E1047" s="1" t="n">
        <v>46314</v>
      </c>
      <c r="F1047" t="inlineStr">
        <is>
          <t>KRONOBERGS LÄN</t>
        </is>
      </c>
      <c r="G1047" t="inlineStr">
        <is>
          <t>VÄXJÖ</t>
        </is>
      </c>
      <c r="I1047" t="n">
        <v>1.7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s="2" t="inlineStr"/>
    </row>
    <row r="1048" ht="15" customHeight="1">
      <c r="A1048" t="inlineStr">
        <is>
          <t>S 526-2022</t>
        </is>
      </c>
      <c r="B1048" t="inlineStr">
        <is>
          <t>samrådsanmälan</t>
        </is>
      </c>
      <c r="C1048" t="inlineStr">
        <is>
          <t>Askåterföring</t>
        </is>
      </c>
      <c r="D1048" s="1" t="n">
        <v>44588</v>
      </c>
      <c r="E1048" s="1" t="n">
        <v>46314</v>
      </c>
      <c r="F1048" t="inlineStr">
        <is>
          <t>KRONOBERGS LÄN</t>
        </is>
      </c>
      <c r="G1048" t="inlineStr">
        <is>
          <t>VÄXJÖ</t>
        </is>
      </c>
      <c r="I1048" t="n">
        <v>15.4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s="2" t="inlineStr"/>
    </row>
    <row r="1049" ht="15" customHeight="1">
      <c r="A1049" t="inlineStr">
        <is>
          <t>S 3312-2022</t>
        </is>
      </c>
      <c r="B1049" t="inlineStr">
        <is>
          <t>samrådsanmälan</t>
        </is>
      </c>
      <c r="C1049" t="inlineStr">
        <is>
          <t>Askåterföring</t>
        </is>
      </c>
      <c r="D1049" s="1" t="n">
        <v>44727</v>
      </c>
      <c r="E1049" s="1" t="n">
        <v>46314</v>
      </c>
      <c r="F1049" t="inlineStr">
        <is>
          <t>KRONOBERGS LÄN</t>
        </is>
      </c>
      <c r="G1049" t="inlineStr">
        <is>
          <t>VÄXJÖ</t>
        </is>
      </c>
      <c r="I1049" t="n">
        <v>11.1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s="2" t="inlineStr"/>
    </row>
    <row r="1050" ht="15" customHeight="1">
      <c r="A1050" t="inlineStr">
        <is>
          <t>S 3794-2023</t>
        </is>
      </c>
      <c r="B1050" t="inlineStr">
        <is>
          <t>samrådsanmälan</t>
        </is>
      </c>
      <c r="C1050" t="inlineStr">
        <is>
          <t>Askåterföring</t>
        </is>
      </c>
      <c r="D1050" s="1" t="n">
        <v>45224</v>
      </c>
      <c r="E1050" s="1" t="n">
        <v>46314</v>
      </c>
      <c r="F1050" t="inlineStr">
        <is>
          <t>KRONOBERGS LÄN</t>
        </is>
      </c>
      <c r="G1050" t="inlineStr">
        <is>
          <t>VÄXJÖ</t>
        </is>
      </c>
      <c r="H1050" t="inlineStr">
        <is>
          <t>Övriga Aktiebolag</t>
        </is>
      </c>
      <c r="I1050" t="n">
        <v>14.2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s="2" t="inlineStr"/>
    </row>
    <row r="1051" ht="15" customHeight="1">
      <c r="A1051" t="inlineStr">
        <is>
          <t>S 3230-2022</t>
        </is>
      </c>
      <c r="B1051" t="inlineStr">
        <is>
          <t>samrådsanmälan</t>
        </is>
      </c>
      <c r="C1051" t="inlineStr">
        <is>
          <t>Askåterföring</t>
        </is>
      </c>
      <c r="D1051" s="1" t="n">
        <v>44722</v>
      </c>
      <c r="E1051" s="1" t="n">
        <v>46314</v>
      </c>
      <c r="F1051" t="inlineStr">
        <is>
          <t>KRONOBERGS LÄN</t>
        </is>
      </c>
      <c r="G1051" t="inlineStr">
        <is>
          <t>VÄXJÖ</t>
        </is>
      </c>
      <c r="I1051" t="n">
        <v>9.300000000000001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s="2" t="inlineStr"/>
    </row>
    <row r="1052" ht="15" customHeight="1">
      <c r="A1052" t="inlineStr">
        <is>
          <t>S 623-2023</t>
        </is>
      </c>
      <c r="B1052" t="inlineStr">
        <is>
          <t>samrådsanmälan</t>
        </is>
      </c>
      <c r="C1052" t="inlineStr">
        <is>
          <t>Annan skogsbruksåtgärd</t>
        </is>
      </c>
      <c r="D1052" s="1" t="n">
        <v>44972</v>
      </c>
      <c r="E1052" s="1" t="n">
        <v>46314</v>
      </c>
      <c r="F1052" t="inlineStr">
        <is>
          <t>KRONOBERGS LÄN</t>
        </is>
      </c>
      <c r="G1052" t="inlineStr">
        <is>
          <t>VÄXJÖ</t>
        </is>
      </c>
      <c r="I1052" t="n">
        <v>5.2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s="2" t="inlineStr"/>
    </row>
    <row r="1053" ht="15" customHeight="1">
      <c r="A1053" t="inlineStr">
        <is>
          <t>S 7973-2021</t>
        </is>
      </c>
      <c r="B1053" t="inlineStr">
        <is>
          <t>samrådsanmälan</t>
        </is>
      </c>
      <c r="C1053" t="inlineStr">
        <is>
          <t>Skogsbilväg</t>
        </is>
      </c>
      <c r="D1053" s="1" t="n">
        <v>44487</v>
      </c>
      <c r="E1053" s="1" t="n">
        <v>46314</v>
      </c>
      <c r="F1053" t="inlineStr">
        <is>
          <t>KRONOBERGS LÄN</t>
        </is>
      </c>
      <c r="G1053" t="inlineStr">
        <is>
          <t>VÄXJÖ</t>
        </is>
      </c>
      <c r="I1053" t="n">
        <v>0.7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s="2" t="inlineStr"/>
    </row>
    <row r="1054" ht="15" customHeight="1">
      <c r="A1054" t="inlineStr">
        <is>
          <t>S 3797-2023</t>
        </is>
      </c>
      <c r="B1054" t="inlineStr">
        <is>
          <t>samrådsanmälan</t>
        </is>
      </c>
      <c r="C1054" t="inlineStr">
        <is>
          <t>Annan skogsbruksåtgärd</t>
        </is>
      </c>
      <c r="D1054" s="1" t="n">
        <v>45230</v>
      </c>
      <c r="E1054" s="1" t="n">
        <v>46314</v>
      </c>
      <c r="F1054" t="inlineStr">
        <is>
          <t>KRONOBERGS LÄN</t>
        </is>
      </c>
      <c r="G1054" t="inlineStr">
        <is>
          <t>VÄXJÖ</t>
        </is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s="2" t="inlineStr"/>
    </row>
    <row r="1055" ht="15" customHeight="1">
      <c r="A1055" t="inlineStr">
        <is>
          <t>S 135-2023</t>
        </is>
      </c>
      <c r="B1055" t="inlineStr">
        <is>
          <t>samrådsanmälan</t>
        </is>
      </c>
      <c r="C1055" t="inlineStr">
        <is>
          <t>Askåterföring</t>
        </is>
      </c>
      <c r="D1055" s="1" t="n">
        <v>44939</v>
      </c>
      <c r="E1055" s="1" t="n">
        <v>46314</v>
      </c>
      <c r="F1055" t="inlineStr">
        <is>
          <t>KRONOBERGS LÄN</t>
        </is>
      </c>
      <c r="G1055" t="inlineStr">
        <is>
          <t>VÄXJÖ</t>
        </is>
      </c>
      <c r="I1055" t="n">
        <v>18.3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s="2" t="inlineStr"/>
    </row>
    <row r="1056" ht="15" customHeight="1">
      <c r="A1056" t="inlineStr">
        <is>
          <t>S 2387-2024</t>
        </is>
      </c>
      <c r="B1056" t="inlineStr">
        <is>
          <t>samrådsanmälan</t>
        </is>
      </c>
      <c r="C1056" t="inlineStr">
        <is>
          <t>Askåterföring</t>
        </is>
      </c>
      <c r="D1056" s="1" t="n">
        <v>45468</v>
      </c>
      <c r="E1056" s="1" t="n">
        <v>46314</v>
      </c>
      <c r="F1056" t="inlineStr">
        <is>
          <t>KRONOBERGS LÄN</t>
        </is>
      </c>
      <c r="G1056" t="inlineStr">
        <is>
          <t>VÄXJÖ</t>
        </is>
      </c>
      <c r="I1056" t="n">
        <v>6.6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s="2" t="inlineStr"/>
    </row>
    <row r="1057" ht="15" customHeight="1">
      <c r="A1057" t="inlineStr">
        <is>
          <t>S 3581-2023</t>
        </is>
      </c>
      <c r="B1057" t="inlineStr">
        <is>
          <t>samrådsanmälan</t>
        </is>
      </c>
      <c r="C1057" t="inlineStr">
        <is>
          <t>Annan skogsbruksåtgärd</t>
        </is>
      </c>
      <c r="D1057" s="1" t="n">
        <v>45218</v>
      </c>
      <c r="E1057" s="1" t="n">
        <v>46314</v>
      </c>
      <c r="F1057" t="inlineStr">
        <is>
          <t>KRONOBERGS LÄN</t>
        </is>
      </c>
      <c r="G1057" t="inlineStr">
        <is>
          <t>VÄXJÖ</t>
        </is>
      </c>
      <c r="I1057" t="n">
        <v>1.2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s="2" t="inlineStr"/>
    </row>
    <row r="1058" ht="15" customHeight="1">
      <c r="A1058" t="inlineStr">
        <is>
          <t>S 1544-2023</t>
        </is>
      </c>
      <c r="B1058" t="inlineStr">
        <is>
          <t>samrådsanmälan</t>
        </is>
      </c>
      <c r="C1058" t="inlineStr">
        <is>
          <t>Askåterföring</t>
        </is>
      </c>
      <c r="D1058" s="1" t="n">
        <v>45054</v>
      </c>
      <c r="E1058" s="1" t="n">
        <v>46314</v>
      </c>
      <c r="F1058" t="inlineStr">
        <is>
          <t>KRONOBERGS LÄN</t>
        </is>
      </c>
      <c r="G1058" t="inlineStr">
        <is>
          <t>VÄXJÖ</t>
        </is>
      </c>
      <c r="I1058" t="n">
        <v>4.6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s="2" t="inlineStr"/>
    </row>
    <row r="1059" ht="15" customHeight="1">
      <c r="A1059" t="inlineStr">
        <is>
          <t>S 802-2022</t>
        </is>
      </c>
      <c r="B1059" t="inlineStr">
        <is>
          <t>samrådsanmälan</t>
        </is>
      </c>
      <c r="C1059" t="inlineStr">
        <is>
          <t>Skogsbilväg</t>
        </is>
      </c>
      <c r="D1059" s="1" t="n">
        <v>44603</v>
      </c>
      <c r="E1059" s="1" t="n">
        <v>46314</v>
      </c>
      <c r="F1059" t="inlineStr">
        <is>
          <t>KRONOBERGS LÄN</t>
        </is>
      </c>
      <c r="G1059" t="inlineStr">
        <is>
          <t>VÄXJÖ</t>
        </is>
      </c>
      <c r="I1059" t="n">
        <v>0.9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s="2" t="inlineStr"/>
    </row>
    <row r="1060" ht="15" customHeight="1">
      <c r="A1060" t="inlineStr">
        <is>
          <t>S 82-2023</t>
        </is>
      </c>
      <c r="B1060" t="inlineStr">
        <is>
          <t>samrådsanmälan</t>
        </is>
      </c>
      <c r="C1060" t="inlineStr">
        <is>
          <t>Annan skogsbruksåtgärd</t>
        </is>
      </c>
      <c r="D1060" s="1" t="n">
        <v>44930</v>
      </c>
      <c r="E1060" s="1" t="n">
        <v>46314</v>
      </c>
      <c r="F1060" t="inlineStr">
        <is>
          <t>KRONOBERGS LÄN</t>
        </is>
      </c>
      <c r="G1060" t="inlineStr">
        <is>
          <t>VÄXJÖ</t>
        </is>
      </c>
      <c r="H1060" t="inlineStr">
        <is>
          <t>Sveaskog</t>
        </is>
      </c>
      <c r="I1060" t="n">
        <v>5.3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s="2" t="inlineStr"/>
    </row>
    <row r="1061" ht="15" customHeight="1">
      <c r="A1061" t="inlineStr">
        <is>
          <t>S 638-2023</t>
        </is>
      </c>
      <c r="B1061" t="inlineStr">
        <is>
          <t>samrådsanmälan</t>
        </is>
      </c>
      <c r="C1061" t="inlineStr">
        <is>
          <t>Annan skogsbruksåtgärd</t>
        </is>
      </c>
      <c r="D1061" s="1" t="n">
        <v>44973</v>
      </c>
      <c r="E1061" s="1" t="n">
        <v>46314</v>
      </c>
      <c r="F1061" t="inlineStr">
        <is>
          <t>KRONOBERGS LÄN</t>
        </is>
      </c>
      <c r="G1061" t="inlineStr">
        <is>
          <t>VÄXJÖ</t>
        </is>
      </c>
      <c r="I1061" t="n">
        <v>1.3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s="2" t="inlineStr"/>
    </row>
    <row r="1062" ht="15" customHeight="1">
      <c r="A1062" t="inlineStr">
        <is>
          <t>S 7073-2022</t>
        </is>
      </c>
      <c r="B1062" t="inlineStr">
        <is>
          <t>samrådsanmälan</t>
        </is>
      </c>
      <c r="C1062" t="inlineStr">
        <is>
          <t>Askåterföring</t>
        </is>
      </c>
      <c r="D1062" s="1" t="n">
        <v>44908</v>
      </c>
      <c r="E1062" s="1" t="n">
        <v>46314</v>
      </c>
      <c r="F1062" t="inlineStr">
        <is>
          <t>KRONOBERGS LÄN</t>
        </is>
      </c>
      <c r="G1062" t="inlineStr">
        <is>
          <t>VÄXJÖ</t>
        </is>
      </c>
      <c r="I1062" t="n">
        <v>15.8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s="2" t="inlineStr"/>
      <c r="Z1062">
        <f>HYPERLINK("https://klasma.github.io/Logging_0780/knärot/S 7073-2022 karta knärot.png", "S 7073-2022")</f>
        <v/>
      </c>
      <c r="AA1062">
        <f>HYPERLINK("https://klasma.github.io/Logging_0780/klagomål/S 7073-2022 FSC-klagomål.docx", "S 7073-2022")</f>
        <v/>
      </c>
      <c r="AB1062">
        <f>HYPERLINK("https://klasma.github.io/Logging_0780/klagomålsmail/S 7073-2022 FSC-klagomål mail.docx", "S 7073-2022")</f>
        <v/>
      </c>
      <c r="AC1062">
        <f>HYPERLINK("https://klasma.github.io/Logging_0780/tillsyn/S 7073-2022 tillsynsbegäran.docx", "S 7073-2022")</f>
        <v/>
      </c>
      <c r="AD1062">
        <f>HYPERLINK("https://klasma.github.io/Logging_0780/tillsynsmail/S 7073-2022 tillsynsbegäran mail.docx", "S 7073-2022")</f>
        <v/>
      </c>
    </row>
    <row r="1063" ht="15" customHeight="1">
      <c r="A1063" t="inlineStr">
        <is>
          <t>S 2488-2022</t>
        </is>
      </c>
      <c r="B1063" t="inlineStr">
        <is>
          <t>samrådsanmälan</t>
        </is>
      </c>
      <c r="C1063" t="inlineStr">
        <is>
          <t>Askåterföring</t>
        </is>
      </c>
      <c r="D1063" s="1" t="n">
        <v>44693</v>
      </c>
      <c r="E1063" s="1" t="n">
        <v>46314</v>
      </c>
      <c r="F1063" t="inlineStr">
        <is>
          <t>KRONOBERGS LÄN</t>
        </is>
      </c>
      <c r="G1063" t="inlineStr">
        <is>
          <t>VÄXJÖ</t>
        </is>
      </c>
      <c r="I1063" t="n">
        <v>16.1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s="2" t="inlineStr"/>
    </row>
    <row r="1064" ht="15" customHeight="1">
      <c r="A1064" t="inlineStr">
        <is>
          <t>S 3275-2022</t>
        </is>
      </c>
      <c r="B1064" t="inlineStr">
        <is>
          <t>samrådsanmälan</t>
        </is>
      </c>
      <c r="C1064" t="inlineStr">
        <is>
          <t>Askåterföring</t>
        </is>
      </c>
      <c r="D1064" s="1" t="n">
        <v>44726</v>
      </c>
      <c r="E1064" s="1" t="n">
        <v>46314</v>
      </c>
      <c r="F1064" t="inlineStr">
        <is>
          <t>KRONOBERGS LÄN</t>
        </is>
      </c>
      <c r="G1064" t="inlineStr">
        <is>
          <t>VÄXJÖ</t>
        </is>
      </c>
      <c r="I1064" t="n">
        <v>12.2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s="2" t="inlineStr"/>
    </row>
    <row r="1065" ht="15" customHeight="1">
      <c r="A1065" t="inlineStr">
        <is>
          <t>S 4281-2024</t>
        </is>
      </c>
      <c r="B1065" t="inlineStr">
        <is>
          <t>samrådsanmälan</t>
        </is>
      </c>
      <c r="C1065" t="inlineStr">
        <is>
          <t>Askåterföring</t>
        </is>
      </c>
      <c r="D1065" s="1" t="n">
        <v>45583</v>
      </c>
      <c r="E1065" s="1" t="n">
        <v>46314</v>
      </c>
      <c r="F1065" t="inlineStr">
        <is>
          <t>KRONOBERGS LÄN</t>
        </is>
      </c>
      <c r="G1065" t="inlineStr">
        <is>
          <t>VÄXJÖ</t>
        </is>
      </c>
      <c r="I1065" t="n">
        <v>11.1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s="2" t="inlineStr"/>
    </row>
    <row r="1066" ht="15" customHeight="1">
      <c r="A1066" t="inlineStr">
        <is>
          <t>S 1548-2023</t>
        </is>
      </c>
      <c r="B1066" t="inlineStr">
        <is>
          <t>samrådsanmälan</t>
        </is>
      </c>
      <c r="C1066" t="inlineStr">
        <is>
          <t>Askåterföring</t>
        </is>
      </c>
      <c r="D1066" s="1" t="n">
        <v>45054</v>
      </c>
      <c r="E1066" s="1" t="n">
        <v>46314</v>
      </c>
      <c r="F1066" t="inlineStr">
        <is>
          <t>KRONOBERGS LÄN</t>
        </is>
      </c>
      <c r="G1066" t="inlineStr">
        <is>
          <t>VÄXJÖ</t>
        </is>
      </c>
      <c r="I1066" t="n">
        <v>3.4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s="2" t="inlineStr"/>
    </row>
    <row r="1067" ht="15" customHeight="1">
      <c r="A1067" t="inlineStr">
        <is>
          <t>S 2937-2022</t>
        </is>
      </c>
      <c r="B1067" t="inlineStr">
        <is>
          <t>samrådsanmälan</t>
        </is>
      </c>
      <c r="C1067" t="inlineStr">
        <is>
          <t>Askåterföring</t>
        </is>
      </c>
      <c r="D1067" s="1" t="n">
        <v>44712</v>
      </c>
      <c r="E1067" s="1" t="n">
        <v>46314</v>
      </c>
      <c r="F1067" t="inlineStr">
        <is>
          <t>KRONOBERGS LÄN</t>
        </is>
      </c>
      <c r="G1067" t="inlineStr">
        <is>
          <t>VÄXJÖ</t>
        </is>
      </c>
      <c r="I1067" t="n">
        <v>19.3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s="2" t="inlineStr"/>
    </row>
    <row r="1068" ht="15" customHeight="1">
      <c r="A1068" t="inlineStr">
        <is>
          <t>S 1543-2023</t>
        </is>
      </c>
      <c r="B1068" t="inlineStr">
        <is>
          <t>samrådsanmälan</t>
        </is>
      </c>
      <c r="C1068" t="inlineStr">
        <is>
          <t>Askåterföring</t>
        </is>
      </c>
      <c r="D1068" s="1" t="n">
        <v>45054</v>
      </c>
      <c r="E1068" s="1" t="n">
        <v>46314</v>
      </c>
      <c r="F1068" t="inlineStr">
        <is>
          <t>KRONOBERGS LÄN</t>
        </is>
      </c>
      <c r="G1068" t="inlineStr">
        <is>
          <t>VÄXJÖ</t>
        </is>
      </c>
      <c r="I1068" t="n">
        <v>2.6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s="2" t="inlineStr"/>
    </row>
    <row r="1069" ht="15" customHeight="1">
      <c r="A1069" t="inlineStr">
        <is>
          <t>S 3229-2022</t>
        </is>
      </c>
      <c r="B1069" t="inlineStr">
        <is>
          <t>samrådsanmälan</t>
        </is>
      </c>
      <c r="C1069" t="inlineStr">
        <is>
          <t>Askåterföring</t>
        </is>
      </c>
      <c r="D1069" s="1" t="n">
        <v>44722</v>
      </c>
      <c r="E1069" s="1" t="n">
        <v>46314</v>
      </c>
      <c r="F1069" t="inlineStr">
        <is>
          <t>KRONOBERGS LÄN</t>
        </is>
      </c>
      <c r="G1069" t="inlineStr">
        <is>
          <t>VÄXJÖ</t>
        </is>
      </c>
      <c r="I1069" t="n">
        <v>3.2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s="2" t="inlineStr"/>
    </row>
    <row r="1070" ht="15" customHeight="1">
      <c r="A1070" t="inlineStr">
        <is>
          <t>S 7075-2022</t>
        </is>
      </c>
      <c r="B1070" t="inlineStr">
        <is>
          <t>samrådsanmälan</t>
        </is>
      </c>
      <c r="C1070" t="inlineStr">
        <is>
          <t>Askåterföring</t>
        </is>
      </c>
      <c r="D1070" s="1" t="n">
        <v>44908</v>
      </c>
      <c r="E1070" s="1" t="n">
        <v>46314</v>
      </c>
      <c r="F1070" t="inlineStr">
        <is>
          <t>KRONOBERGS LÄN</t>
        </is>
      </c>
      <c r="G1070" t="inlineStr">
        <is>
          <t>VÄXJÖ</t>
        </is>
      </c>
      <c r="I1070" t="n">
        <v>2.3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s="2" t="inlineStr"/>
    </row>
    <row r="1071" ht="15" customHeight="1">
      <c r="A1071" t="inlineStr">
        <is>
          <t>S 622-2023</t>
        </is>
      </c>
      <c r="B1071" t="inlineStr">
        <is>
          <t>samrådsanmälan</t>
        </is>
      </c>
      <c r="C1071" t="inlineStr">
        <is>
          <t>Annan skogsbruksåtgärd</t>
        </is>
      </c>
      <c r="D1071" s="1" t="n">
        <v>44972</v>
      </c>
      <c r="E1071" s="1" t="n">
        <v>46314</v>
      </c>
      <c r="F1071" t="inlineStr">
        <is>
          <t>KRONOBERGS LÄN</t>
        </is>
      </c>
      <c r="G1071" t="inlineStr">
        <is>
          <t>VÄXJÖ</t>
        </is>
      </c>
      <c r="I1071" t="n">
        <v>1.1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s="2" t="inlineStr"/>
    </row>
    <row r="1072" ht="15" customHeight="1">
      <c r="A1072" t="inlineStr">
        <is>
          <t>S 682-2023</t>
        </is>
      </c>
      <c r="B1072" t="inlineStr">
        <is>
          <t>samrådsanmälan</t>
        </is>
      </c>
      <c r="C1072" t="inlineStr">
        <is>
          <t>Annan skogsbruksåtgärd</t>
        </is>
      </c>
      <c r="D1072" s="1" t="n">
        <v>44978</v>
      </c>
      <c r="E1072" s="1" t="n">
        <v>46314</v>
      </c>
      <c r="F1072" t="inlineStr">
        <is>
          <t>KRONOBERGS LÄN</t>
        </is>
      </c>
      <c r="G1072" t="inlineStr">
        <is>
          <t>VÄXJÖ</t>
        </is>
      </c>
      <c r="I1072" t="n">
        <v>2.5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s="2" t="inlineStr"/>
    </row>
    <row r="1073" ht="15" customHeight="1">
      <c r="A1073" t="inlineStr">
        <is>
          <t>S 2931-2022</t>
        </is>
      </c>
      <c r="B1073" t="inlineStr">
        <is>
          <t>samrådsanmälan</t>
        </is>
      </c>
      <c r="C1073" t="inlineStr">
        <is>
          <t>Askåterföring</t>
        </is>
      </c>
      <c r="D1073" s="1" t="n">
        <v>44712</v>
      </c>
      <c r="E1073" s="1" t="n">
        <v>46314</v>
      </c>
      <c r="F1073" t="inlineStr">
        <is>
          <t>KRONOBERGS LÄN</t>
        </is>
      </c>
      <c r="G1073" t="inlineStr">
        <is>
          <t>VÄXJÖ</t>
        </is>
      </c>
      <c r="I1073" t="n">
        <v>33.3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s="2" t="inlineStr"/>
    </row>
    <row r="1074" ht="15" customHeight="1">
      <c r="A1074" t="inlineStr">
        <is>
          <t>S 6660-2022</t>
        </is>
      </c>
      <c r="B1074" t="inlineStr">
        <is>
          <t>samrådsanmälan</t>
        </is>
      </c>
      <c r="C1074" t="inlineStr">
        <is>
          <t>Annan skogsbruksåtgärd</t>
        </is>
      </c>
      <c r="D1074" s="1" t="n">
        <v>44887</v>
      </c>
      <c r="E1074" s="1" t="n">
        <v>46314</v>
      </c>
      <c r="F1074" t="inlineStr">
        <is>
          <t>KRONOBERGS LÄN</t>
        </is>
      </c>
      <c r="G1074" t="inlineStr">
        <is>
          <t>VÄXJÖ</t>
        </is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s="2" t="inlineStr"/>
    </row>
    <row r="1075" ht="15" customHeight="1">
      <c r="A1075" t="inlineStr">
        <is>
          <t>S 2714-2022</t>
        </is>
      </c>
      <c r="B1075" t="inlineStr">
        <is>
          <t>samrådsanmälan</t>
        </is>
      </c>
      <c r="C1075" t="inlineStr">
        <is>
          <t>Askåterföring</t>
        </is>
      </c>
      <c r="D1075" s="1" t="n">
        <v>44704</v>
      </c>
      <c r="E1075" s="1" t="n">
        <v>46314</v>
      </c>
      <c r="F1075" t="inlineStr">
        <is>
          <t>KRONOBERGS LÄN</t>
        </is>
      </c>
      <c r="G1075" t="inlineStr">
        <is>
          <t>VÄXJÖ</t>
        </is>
      </c>
      <c r="I1075" t="n">
        <v>16.9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s="2" t="inlineStr"/>
    </row>
    <row r="1076" ht="15" customHeight="1">
      <c r="A1076" t="inlineStr">
        <is>
          <t>S 7090-2022</t>
        </is>
      </c>
      <c r="B1076" t="inlineStr">
        <is>
          <t>samrådsanmälan</t>
        </is>
      </c>
      <c r="C1076" t="inlineStr">
        <is>
          <t>Askåterföring</t>
        </is>
      </c>
      <c r="D1076" s="1" t="n">
        <v>44909</v>
      </c>
      <c r="E1076" s="1" t="n">
        <v>46314</v>
      </c>
      <c r="F1076" t="inlineStr">
        <is>
          <t>KRONOBERGS LÄN</t>
        </is>
      </c>
      <c r="G1076" t="inlineStr">
        <is>
          <t>VÄXJÖ</t>
        </is>
      </c>
      <c r="I1076" t="n">
        <v>11.1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s="2" t="inlineStr"/>
    </row>
    <row r="1077" ht="15" customHeight="1">
      <c r="A1077" t="inlineStr">
        <is>
          <t>S 1358-2024</t>
        </is>
      </c>
      <c r="B1077" t="inlineStr">
        <is>
          <t>samrådsanmälan</t>
        </is>
      </c>
      <c r="C1077" t="inlineStr">
        <is>
          <t>Askåterföring</t>
        </is>
      </c>
      <c r="D1077" s="1" t="n">
        <v>45408</v>
      </c>
      <c r="E1077" s="1" t="n">
        <v>46314</v>
      </c>
      <c r="F1077" t="inlineStr">
        <is>
          <t>KRONOBERGS LÄN</t>
        </is>
      </c>
      <c r="G1077" t="inlineStr">
        <is>
          <t>VÄXJÖ</t>
        </is>
      </c>
      <c r="I1077" t="n">
        <v>38.8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s="2" t="inlineStr"/>
    </row>
    <row r="1078" ht="15" customHeight="1">
      <c r="A1078" t="inlineStr">
        <is>
          <t>S 701-2022</t>
        </is>
      </c>
      <c r="B1078" t="inlineStr">
        <is>
          <t>samrådsanmälan</t>
        </is>
      </c>
      <c r="C1078" t="inlineStr">
        <is>
          <t>Skogsbilväg</t>
        </is>
      </c>
      <c r="D1078" s="1" t="n">
        <v>44596</v>
      </c>
      <c r="E1078" s="1" t="n">
        <v>46314</v>
      </c>
      <c r="F1078" t="inlineStr">
        <is>
          <t>KRONOBERGS LÄN</t>
        </is>
      </c>
      <c r="G1078" t="inlineStr">
        <is>
          <t>VÄXJÖ</t>
        </is>
      </c>
      <c r="I1078" t="n">
        <v>1.6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s="2" t="inlineStr"/>
    </row>
    <row r="1079" ht="15" customHeight="1">
      <c r="A1079" t="inlineStr">
        <is>
          <t>S 7076-2022</t>
        </is>
      </c>
      <c r="B1079" t="inlineStr">
        <is>
          <t>samrådsanmälan</t>
        </is>
      </c>
      <c r="C1079" t="inlineStr">
        <is>
          <t>Askåterföring</t>
        </is>
      </c>
      <c r="D1079" s="1" t="n">
        <v>44908</v>
      </c>
      <c r="E1079" s="1" t="n">
        <v>46314</v>
      </c>
      <c r="F1079" t="inlineStr">
        <is>
          <t>KRONOBERGS LÄN</t>
        </is>
      </c>
      <c r="G1079" t="inlineStr">
        <is>
          <t>VÄXJÖ</t>
        </is>
      </c>
      <c r="I1079" t="n">
        <v>4.4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s="2" t="inlineStr"/>
    </row>
    <row r="1080" ht="15" customHeight="1">
      <c r="A1080" t="inlineStr">
        <is>
          <t>S 2719-2022</t>
        </is>
      </c>
      <c r="B1080" t="inlineStr">
        <is>
          <t>samrådsanmälan</t>
        </is>
      </c>
      <c r="C1080" t="inlineStr">
        <is>
          <t>Askåterföring</t>
        </is>
      </c>
      <c r="D1080" s="1" t="n">
        <v>44704</v>
      </c>
      <c r="E1080" s="1" t="n">
        <v>46314</v>
      </c>
      <c r="F1080" t="inlineStr">
        <is>
          <t>KRONOBERGS LÄN</t>
        </is>
      </c>
      <c r="G1080" t="inlineStr">
        <is>
          <t>VÄXJÖ</t>
        </is>
      </c>
      <c r="I1080" t="n">
        <v>22.5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s="2" t="inlineStr"/>
    </row>
    <row r="1081" ht="15" customHeight="1">
      <c r="A1081" t="inlineStr">
        <is>
          <t>S 1545-2023</t>
        </is>
      </c>
      <c r="B1081" t="inlineStr">
        <is>
          <t>samrådsanmälan</t>
        </is>
      </c>
      <c r="C1081" t="inlineStr">
        <is>
          <t>Askåterföring</t>
        </is>
      </c>
      <c r="D1081" s="1" t="n">
        <v>45054</v>
      </c>
      <c r="E1081" s="1" t="n">
        <v>46314</v>
      </c>
      <c r="F1081" t="inlineStr">
        <is>
          <t>KRONOBERGS LÄN</t>
        </is>
      </c>
      <c r="G1081" t="inlineStr">
        <is>
          <t>VÄXJÖ</t>
        </is>
      </c>
      <c r="I1081" t="n">
        <v>1.2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s="2" t="inlineStr"/>
    </row>
    <row r="1082" ht="15" customHeight="1">
      <c r="A1082" t="inlineStr">
        <is>
          <t>S 3246-2024</t>
        </is>
      </c>
      <c r="B1082" t="inlineStr">
        <is>
          <t>samrådsanmälan</t>
        </is>
      </c>
      <c r="C1082" t="inlineStr">
        <is>
          <t>Askåterföring</t>
        </is>
      </c>
      <c r="D1082" s="1" t="n">
        <v>45526</v>
      </c>
      <c r="E1082" s="1" t="n">
        <v>46314</v>
      </c>
      <c r="F1082" t="inlineStr">
        <is>
          <t>KRONOBERGS LÄN</t>
        </is>
      </c>
      <c r="G1082" t="inlineStr">
        <is>
          <t>VÄXJÖ</t>
        </is>
      </c>
      <c r="I1082" t="n">
        <v>9.199999999999999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s="2" t="inlineStr"/>
    </row>
    <row r="1083" ht="15" customHeight="1">
      <c r="A1083" t="inlineStr">
        <is>
          <t>S 1803-2024</t>
        </is>
      </c>
      <c r="B1083" t="inlineStr">
        <is>
          <t>samrådsanmälan</t>
        </is>
      </c>
      <c r="C1083" t="inlineStr">
        <is>
          <t>Askåterföring</t>
        </is>
      </c>
      <c r="D1083" s="1" t="n">
        <v>45436</v>
      </c>
      <c r="E1083" s="1" t="n">
        <v>46314</v>
      </c>
      <c r="F1083" t="inlineStr">
        <is>
          <t>KRONOBERGS LÄN</t>
        </is>
      </c>
      <c r="G1083" t="inlineStr">
        <is>
          <t>VÄXJÖ</t>
        </is>
      </c>
      <c r="I1083" t="n">
        <v>23.3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s="2" t="inlineStr"/>
    </row>
    <row r="1084" ht="15" customHeight="1">
      <c r="A1084" t="inlineStr">
        <is>
          <t>S 2791-2024</t>
        </is>
      </c>
      <c r="B1084" t="inlineStr">
        <is>
          <t>samrådsanmälan</t>
        </is>
      </c>
      <c r="C1084" t="inlineStr">
        <is>
          <t>Askåterföring</t>
        </is>
      </c>
      <c r="D1084" s="1" t="n">
        <v>45485</v>
      </c>
      <c r="E1084" s="1" t="n">
        <v>46314</v>
      </c>
      <c r="F1084" t="inlineStr">
        <is>
          <t>KRONOBERGS LÄN</t>
        </is>
      </c>
      <c r="G1084" t="inlineStr">
        <is>
          <t>VÄXJÖ</t>
        </is>
      </c>
      <c r="I1084" t="n">
        <v>14.1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s="2" t="inlineStr"/>
    </row>
    <row r="1085" ht="15" customHeight="1">
      <c r="A1085" t="inlineStr">
        <is>
          <t>S 525-2022</t>
        </is>
      </c>
      <c r="B1085" t="inlineStr">
        <is>
          <t>samrådsanmälan</t>
        </is>
      </c>
      <c r="C1085" t="inlineStr">
        <is>
          <t>Askåterföring</t>
        </is>
      </c>
      <c r="D1085" s="1" t="n">
        <v>44588</v>
      </c>
      <c r="E1085" s="1" t="n">
        <v>46314</v>
      </c>
      <c r="F1085" t="inlineStr">
        <is>
          <t>KRONOBERGS LÄN</t>
        </is>
      </c>
      <c r="G1085" t="inlineStr">
        <is>
          <t>VÄXJÖ</t>
        </is>
      </c>
      <c r="I1085" t="n">
        <v>20.4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s="2" t="inlineStr"/>
    </row>
    <row r="1086" ht="15" customHeight="1">
      <c r="A1086" t="inlineStr">
        <is>
          <t>S 772-2025</t>
        </is>
      </c>
      <c r="B1086" t="inlineStr">
        <is>
          <t>samrådsanmälan</t>
        </is>
      </c>
      <c r="C1086" t="inlineStr">
        <is>
          <t>Askåterföring</t>
        </is>
      </c>
      <c r="D1086" s="1" t="n">
        <v>45727</v>
      </c>
      <c r="E1086" s="1" t="n">
        <v>46314</v>
      </c>
      <c r="F1086" t="inlineStr">
        <is>
          <t>KRONOBERGS LÄN</t>
        </is>
      </c>
      <c r="G1086" t="inlineStr">
        <is>
          <t>VÄXJÖ</t>
        </is>
      </c>
      <c r="I1086" t="n">
        <v>4.9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s="2" t="inlineStr"/>
    </row>
    <row r="1087" ht="15" customHeight="1">
      <c r="A1087" t="inlineStr">
        <is>
          <t>S 945-2025</t>
        </is>
      </c>
      <c r="B1087" t="inlineStr">
        <is>
          <t>samrådsanmälan</t>
        </is>
      </c>
      <c r="C1087" t="inlineStr">
        <is>
          <t>Askåterföring</t>
        </is>
      </c>
      <c r="D1087" s="1" t="n">
        <v>45740</v>
      </c>
      <c r="E1087" s="1" t="n">
        <v>46314</v>
      </c>
      <c r="F1087" t="inlineStr">
        <is>
          <t>KRONOBERGS LÄN</t>
        </is>
      </c>
      <c r="G1087" t="inlineStr">
        <is>
          <t>VÄXJÖ</t>
        </is>
      </c>
      <c r="I1087" t="n">
        <v>20.8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s="2" t="inlineStr"/>
    </row>
    <row r="1088" ht="15" customHeight="1">
      <c r="A1088" t="inlineStr">
        <is>
          <t>S 755-2025</t>
        </is>
      </c>
      <c r="B1088" t="inlineStr">
        <is>
          <t>samrådsanmälan</t>
        </is>
      </c>
      <c r="C1088" t="inlineStr">
        <is>
          <t>Askåterföring</t>
        </is>
      </c>
      <c r="D1088" s="1" t="n">
        <v>45726</v>
      </c>
      <c r="E1088" s="1" t="n">
        <v>46314</v>
      </c>
      <c r="F1088" t="inlineStr">
        <is>
          <t>KRONOBERGS LÄN</t>
        </is>
      </c>
      <c r="G1088" t="inlineStr">
        <is>
          <t>VÄXJÖ</t>
        </is>
      </c>
      <c r="I1088" t="n">
        <v>4.4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s="2" t="inlineStr"/>
    </row>
    <row r="1089" ht="15" customHeight="1">
      <c r="A1089" t="inlineStr">
        <is>
          <t>S 1590-2025</t>
        </is>
      </c>
      <c r="B1089" t="inlineStr">
        <is>
          <t>samrådsanmälan</t>
        </is>
      </c>
      <c r="C1089" t="inlineStr">
        <is>
          <t>Annan skogsbruksåtgärd</t>
        </is>
      </c>
      <c r="D1089" s="1" t="n">
        <v>45797</v>
      </c>
      <c r="E1089" s="1" t="n">
        <v>46314</v>
      </c>
      <c r="F1089" t="inlineStr">
        <is>
          <t>KRONOBERGS LÄN</t>
        </is>
      </c>
      <c r="G1089" t="inlineStr">
        <is>
          <t>VÄXJÖ</t>
        </is>
      </c>
      <c r="I1089" t="n">
        <v>0.8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s="2" t="inlineStr"/>
    </row>
    <row r="1090" ht="15" customHeight="1">
      <c r="A1090" t="inlineStr">
        <is>
          <t>S 1702-2025</t>
        </is>
      </c>
      <c r="B1090" t="inlineStr">
        <is>
          <t>samrådsanmälan</t>
        </is>
      </c>
      <c r="C1090" t="inlineStr">
        <is>
          <t>Annan skogsbruksåtgärd</t>
        </is>
      </c>
      <c r="D1090" s="1" t="n">
        <v>45805</v>
      </c>
      <c r="E1090" s="1" t="n">
        <v>46314</v>
      </c>
      <c r="F1090" t="inlineStr">
        <is>
          <t>KRONOBERGS LÄN</t>
        </is>
      </c>
      <c r="G1090" t="inlineStr">
        <is>
          <t>VÄXJÖ</t>
        </is>
      </c>
      <c r="I1090" t="n">
        <v>8.800000000000001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s="2" t="inlineStr"/>
    </row>
    <row r="1091" ht="15" customHeight="1">
      <c r="A1091" t="inlineStr">
        <is>
          <t>S 1965-2025</t>
        </is>
      </c>
      <c r="B1091" t="inlineStr">
        <is>
          <t>samrådsanmälan</t>
        </is>
      </c>
      <c r="C1091" t="inlineStr">
        <is>
          <t>Askåterföring</t>
        </is>
      </c>
      <c r="D1091" s="1" t="n">
        <v>45831</v>
      </c>
      <c r="E1091" s="1" t="n">
        <v>46314</v>
      </c>
      <c r="F1091" t="inlineStr">
        <is>
          <t>KRONOBERGS LÄN</t>
        </is>
      </c>
      <c r="G1091" t="inlineStr">
        <is>
          <t>VÄXJÖ</t>
        </is>
      </c>
      <c r="I1091" t="n">
        <v>30.9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s="2" t="inlineStr"/>
    </row>
    <row r="1092" ht="15" customHeight="1">
      <c r="A1092" t="inlineStr">
        <is>
          <t>S 2934-2025</t>
        </is>
      </c>
      <c r="B1092" t="inlineStr">
        <is>
          <t>samrådsanmälan</t>
        </is>
      </c>
      <c r="C1092" t="inlineStr">
        <is>
          <t>Annan skogsbruksåtgärd</t>
        </is>
      </c>
      <c r="D1092" s="1" t="n">
        <v>45951</v>
      </c>
      <c r="E1092" s="1" t="n">
        <v>46314</v>
      </c>
      <c r="F1092" t="inlineStr">
        <is>
          <t>KRONOBERGS LÄN</t>
        </is>
      </c>
      <c r="G1092" t="inlineStr">
        <is>
          <t>VÄXJÖ</t>
        </is>
      </c>
      <c r="I1092" t="n">
        <v>0.2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s="2" t="inlineStr"/>
    </row>
    <row r="1093" ht="15" customHeight="1">
      <c r="A1093" t="inlineStr">
        <is>
          <t>S 3010-2025</t>
        </is>
      </c>
      <c r="B1093" t="inlineStr">
        <is>
          <t>samrådsanmälan</t>
        </is>
      </c>
      <c r="C1093" t="inlineStr">
        <is>
          <t>Askåterföring</t>
        </is>
      </c>
      <c r="D1093" s="1" t="n">
        <v>45958</v>
      </c>
      <c r="E1093" s="1" t="n">
        <v>46314</v>
      </c>
      <c r="F1093" t="inlineStr">
        <is>
          <t>KRONOBERGS LÄN</t>
        </is>
      </c>
      <c r="G1093" t="inlineStr">
        <is>
          <t>VÄXJÖ</t>
        </is>
      </c>
      <c r="I1093" t="n">
        <v>24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s="2" t="inlineStr"/>
    </row>
    <row r="1094" ht="15" customHeight="1">
      <c r="A1094" t="inlineStr">
        <is>
          <t>S 3070-2025</t>
        </is>
      </c>
      <c r="B1094" t="inlineStr">
        <is>
          <t>samrådsanmälan</t>
        </is>
      </c>
      <c r="C1094" t="inlineStr">
        <is>
          <t>Askåterföring</t>
        </is>
      </c>
      <c r="D1094" s="1" t="n">
        <v>45964</v>
      </c>
      <c r="E1094" s="1" t="n">
        <v>46314</v>
      </c>
      <c r="F1094" t="inlineStr">
        <is>
          <t>KRONOBERGS LÄN</t>
        </is>
      </c>
      <c r="G1094" t="inlineStr">
        <is>
          <t>VÄXJÖ</t>
        </is>
      </c>
      <c r="I1094" t="n">
        <v>10.2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s="2" t="inlineStr"/>
    </row>
    <row r="1095" ht="15" customHeight="1">
      <c r="A1095" t="inlineStr">
        <is>
          <t>S 3076-2025</t>
        </is>
      </c>
      <c r="B1095" t="inlineStr">
        <is>
          <t>samrådsanmälan</t>
        </is>
      </c>
      <c r="C1095" t="inlineStr">
        <is>
          <t>Annan skogsbruksåtgärd</t>
        </is>
      </c>
      <c r="D1095" s="1" t="n">
        <v>45965</v>
      </c>
      <c r="E1095" s="1" t="n">
        <v>46314</v>
      </c>
      <c r="F1095" t="inlineStr">
        <is>
          <t>KRONOBERGS LÄN</t>
        </is>
      </c>
      <c r="G1095" t="inlineStr">
        <is>
          <t>VÄXJÖ</t>
        </is>
      </c>
      <c r="I1095" t="n">
        <v>1.9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s="2" t="inlineStr"/>
    </row>
    <row r="1096" ht="15" customHeight="1">
      <c r="A1096" t="inlineStr">
        <is>
          <t>S 3239-2025</t>
        </is>
      </c>
      <c r="B1096" t="inlineStr">
        <is>
          <t>samrådsanmälan</t>
        </is>
      </c>
      <c r="C1096" t="inlineStr">
        <is>
          <t>Annan skogsbruksåtgärd</t>
        </is>
      </c>
      <c r="D1096" s="1" t="n">
        <v>45981</v>
      </c>
      <c r="E1096" s="1" t="n">
        <v>46314</v>
      </c>
      <c r="F1096" t="inlineStr">
        <is>
          <t>KRONOBERGS LÄN</t>
        </is>
      </c>
      <c r="G1096" t="inlineStr">
        <is>
          <t>VÄXJÖ</t>
        </is>
      </c>
      <c r="H1096" t="inlineStr">
        <is>
          <t>Kyrkan</t>
        </is>
      </c>
      <c r="I1096" t="n">
        <v>1.3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s="2" t="inlineStr"/>
    </row>
    <row r="1097" ht="15" customHeight="1">
      <c r="A1097" t="inlineStr">
        <is>
          <t>S 3314-2025</t>
        </is>
      </c>
      <c r="B1097" t="inlineStr">
        <is>
          <t>samrådsanmälan</t>
        </is>
      </c>
      <c r="C1097" t="inlineStr">
        <is>
          <t>Askåterföring</t>
        </is>
      </c>
      <c r="D1097" s="1" t="n">
        <v>45988</v>
      </c>
      <c r="E1097" s="1" t="n">
        <v>46314</v>
      </c>
      <c r="F1097" t="inlineStr">
        <is>
          <t>KRONOBERGS LÄN</t>
        </is>
      </c>
      <c r="G1097" t="inlineStr">
        <is>
          <t>VÄXJÖ</t>
        </is>
      </c>
      <c r="I1097" t="n">
        <v>12.7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s="2" t="inlineStr"/>
    </row>
    <row r="1098" ht="15" customHeight="1">
      <c r="A1098" t="inlineStr">
        <is>
          <t>S 705-2026</t>
        </is>
      </c>
      <c r="B1098" t="inlineStr">
        <is>
          <t>samrådsanmälan</t>
        </is>
      </c>
      <c r="C1098" t="inlineStr">
        <is>
          <t>Askåterföring</t>
        </is>
      </c>
      <c r="D1098" s="1" t="n">
        <v>46092</v>
      </c>
      <c r="E1098" s="1" t="n">
        <v>46314</v>
      </c>
      <c r="F1098" t="inlineStr">
        <is>
          <t>KRONOBERGS LÄN</t>
        </is>
      </c>
      <c r="G1098" t="inlineStr">
        <is>
          <t>VÄXJÖ</t>
        </is>
      </c>
      <c r="H1098" t="inlineStr">
        <is>
          <t>Övriga Aktiebolag</t>
        </is>
      </c>
      <c r="I1098" t="n">
        <v>7.3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s="2" t="inlineStr"/>
    </row>
    <row r="1099" ht="15" customHeight="1">
      <c r="A1099" t="inlineStr">
        <is>
          <t>S 1876-2026</t>
        </is>
      </c>
      <c r="B1099" t="inlineStr">
        <is>
          <t>samrådsanmälan</t>
        </is>
      </c>
      <c r="C1099" t="inlineStr">
        <is>
          <t>Annan skogsbruksåtgärd</t>
        </is>
      </c>
      <c r="D1099" s="1" t="n">
        <v>46202</v>
      </c>
      <c r="E1099" s="1" t="n">
        <v>46314</v>
      </c>
      <c r="F1099" t="inlineStr">
        <is>
          <t>KRONOBERGS LÄN</t>
        </is>
      </c>
      <c r="G1099" t="inlineStr">
        <is>
          <t>VÄXJÖ</t>
        </is>
      </c>
      <c r="I1099" t="n">
        <v>4.1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s="2" t="inlineStr"/>
    </row>
    <row r="1100" ht="15" customHeight="1">
      <c r="A1100" t="inlineStr">
        <is>
          <t>S 2599-2026</t>
        </is>
      </c>
      <c r="B1100" t="inlineStr">
        <is>
          <t>samrådsanmälan</t>
        </is>
      </c>
      <c r="C1100" t="inlineStr">
        <is>
          <t>Annan skogsbruksåtgärd</t>
        </is>
      </c>
      <c r="D1100" s="1" t="n">
        <v>46300</v>
      </c>
      <c r="E1100" s="1" t="n">
        <v>46314</v>
      </c>
      <c r="F1100" t="inlineStr">
        <is>
          <t>KRONOBERGS LÄN</t>
        </is>
      </c>
      <c r="G1100" t="inlineStr">
        <is>
          <t>VÄXJÖ</t>
        </is>
      </c>
      <c r="I1100" t="n">
        <v>9.6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s="2" t="inlineStr"/>
    </row>
    <row r="1101" ht="15" customHeight="1">
      <c r="A1101" t="inlineStr">
        <is>
          <t>S 2265-2026</t>
        </is>
      </c>
      <c r="B1101" t="inlineStr">
        <is>
          <t>samrådsanmälan</t>
        </is>
      </c>
      <c r="C1101" t="inlineStr">
        <is>
          <t>Annan skogsbruksåtgärd</t>
        </is>
      </c>
      <c r="D1101" s="1" t="n">
        <v>46262</v>
      </c>
      <c r="E1101" s="1" t="n">
        <v>46314</v>
      </c>
      <c r="F1101" t="inlineStr">
        <is>
          <t>KRONOBERGS LÄN</t>
        </is>
      </c>
      <c r="G1101" t="inlineStr">
        <is>
          <t>VÄXJÖ</t>
        </is>
      </c>
      <c r="I1101" t="n">
        <v>7.6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s="2" t="inlineStr"/>
    </row>
    <row r="1102">
      <c r="A1102" t="inlineStr">
        <is>
          <t>S 2642-2026</t>
        </is>
      </c>
      <c r="B1102" t="inlineStr">
        <is>
          <t>samrådsanmälan</t>
        </is>
      </c>
      <c r="C1102" t="inlineStr">
        <is>
          <t>Annan skogsbruksåtgärd</t>
        </is>
      </c>
      <c r="D1102" s="1" t="n">
        <v>46304</v>
      </c>
      <c r="E1102" s="1" t="n">
        <v>46314</v>
      </c>
      <c r="F1102" t="inlineStr">
        <is>
          <t>KRONOBERGS LÄN</t>
        </is>
      </c>
      <c r="G1102" t="inlineStr">
        <is>
          <t>VÄXJÖ</t>
        </is>
      </c>
      <c r="I1102" t="n">
        <v>1.2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2026-10-19T02:03:56Z</dcterms:created>
  <dcterms:modified xmlns:dcterms="http://purl.org/dc/terms/" xmlns:xsi="http://www.w3.org/2001/XMLSchema-instance" xsi:type="dcterms:W3CDTF">2026-10-19T02:03:57Z</dcterms:modified>
</cp:coreProperties>
</file>