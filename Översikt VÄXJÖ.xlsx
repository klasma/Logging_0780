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45749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45749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45749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45749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45749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45749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45749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45749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45749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45749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45749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45749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45749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45749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45749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45749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45749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45749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45749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45749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45749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45749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45749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45749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45749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45749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45749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45749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45749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45749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21191-2021</t>
        </is>
      </c>
      <c r="B32" s="1" t="n">
        <v>44320</v>
      </c>
      <c r="C32" s="1" t="n">
        <v>45749</v>
      </c>
      <c r="D32" t="inlineStr">
        <is>
          <t>KRONOBERGS LÄN</t>
        </is>
      </c>
      <c r="E32" t="inlineStr">
        <is>
          <t>VÄXJÖ</t>
        </is>
      </c>
      <c r="G32" t="n">
        <v>3.6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21191-2021 artfynd.xlsx", "A 21191-2021")</f>
        <v/>
      </c>
      <c r="T32">
        <f>HYPERLINK("https://klasma.github.io/Logging_0780/kartor/A 21191-2021 karta.png", "A 21191-2021")</f>
        <v/>
      </c>
      <c r="U32">
        <f>HYPERLINK("https://klasma.github.io/Logging_0780/knärot/A 21191-2021 karta knärot.png", "A 21191-2021")</f>
        <v/>
      </c>
      <c r="V32">
        <f>HYPERLINK("https://klasma.github.io/Logging_0780/klagomål/A 21191-2021 FSC-klagomål.docx", "A 21191-2021")</f>
        <v/>
      </c>
      <c r="W32">
        <f>HYPERLINK("https://klasma.github.io/Logging_0780/klagomålsmail/A 21191-2021 FSC-klagomål mail.docx", "A 21191-2021")</f>
        <v/>
      </c>
      <c r="X32">
        <f>HYPERLINK("https://klasma.github.io/Logging_0780/tillsyn/A 21191-2021 tillsynsbegäran.docx", "A 21191-2021")</f>
        <v/>
      </c>
      <c r="Y32">
        <f>HYPERLINK("https://klasma.github.io/Logging_0780/tillsynsmail/A 21191-2021 tillsynsbegäran mail.docx", "A 21191-2021")</f>
        <v/>
      </c>
    </row>
    <row r="33" ht="15" customHeight="1">
      <c r="A33" t="inlineStr">
        <is>
          <t>A 29179-2021</t>
        </is>
      </c>
      <c r="B33" s="1" t="n">
        <v>44358</v>
      </c>
      <c r="C33" s="1" t="n">
        <v>45749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HYPERLINK("https://klasma.github.io/Logging_0780/artfynd/A 29179-2021 artfynd.xlsx", "A 29179-2021")</f>
        <v/>
      </c>
      <c r="T33">
        <f>HYPERLINK("https://klasma.github.io/Logging_0780/kartor/A 29179-2021 karta.png", "A 29179-2021")</f>
        <v/>
      </c>
      <c r="V33">
        <f>HYPERLINK("https://klasma.github.io/Logging_0780/klagomål/A 29179-2021 FSC-klagomål.docx", "A 29179-2021")</f>
        <v/>
      </c>
      <c r="W33">
        <f>HYPERLINK("https://klasma.github.io/Logging_0780/klagomålsmail/A 29179-2021 FSC-klagomål mail.docx", "A 29179-2021")</f>
        <v/>
      </c>
      <c r="X33">
        <f>HYPERLINK("https://klasma.github.io/Logging_0780/tillsyn/A 29179-2021 tillsynsbegäran.docx", "A 29179-2021")</f>
        <v/>
      </c>
      <c r="Y33">
        <f>HYPERLINK("https://klasma.github.io/Logging_0780/tillsynsmail/A 29179-2021 tillsynsbegäran mail.docx", "A 29179-2021")</f>
        <v/>
      </c>
      <c r="Z33">
        <f>HYPERLINK("https://klasma.github.io/Logging_0780/fåglar/A 29179-2021 prioriterade fågelarter.docx", "A 29179-2021")</f>
        <v/>
      </c>
    </row>
    <row r="34" ht="15" customHeight="1">
      <c r="A34" t="inlineStr">
        <is>
          <t>A 35815-2021</t>
        </is>
      </c>
      <c r="B34" s="1" t="n">
        <v>44386</v>
      </c>
      <c r="C34" s="1" t="n">
        <v>45749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HYPERLINK("https://klasma.github.io/Logging_0780/artfynd/A 35815-2021 artfynd.xlsx", "A 35815-2021")</f>
        <v/>
      </c>
      <c r="T34">
        <f>HYPERLINK("https://klasma.github.io/Logging_0780/kartor/A 35815-2021 karta.png", "A 35815-2021")</f>
        <v/>
      </c>
      <c r="V34">
        <f>HYPERLINK("https://klasma.github.io/Logging_0780/klagomål/A 35815-2021 FSC-klagomål.docx", "A 35815-2021")</f>
        <v/>
      </c>
      <c r="W34">
        <f>HYPERLINK("https://klasma.github.io/Logging_0780/klagomålsmail/A 35815-2021 FSC-klagomål mail.docx", "A 35815-2021")</f>
        <v/>
      </c>
      <c r="X34">
        <f>HYPERLINK("https://klasma.github.io/Logging_0780/tillsyn/A 35815-2021 tillsynsbegäran.docx", "A 35815-2021")</f>
        <v/>
      </c>
      <c r="Y34">
        <f>HYPERLINK("https://klasma.github.io/Logging_0780/tillsynsmail/A 35815-2021 tillsynsbegäran mail.docx", "A 35815-2021")</f>
        <v/>
      </c>
    </row>
    <row r="35" ht="15" customHeight="1">
      <c r="A35" t="inlineStr">
        <is>
          <t>A 43912-2021</t>
        </is>
      </c>
      <c r="B35" s="1" t="n">
        <v>44434</v>
      </c>
      <c r="C35" s="1" t="n">
        <v>45749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43912-2021 artfynd.xlsx", "A 43912-2021")</f>
        <v/>
      </c>
      <c r="T35">
        <f>HYPERLINK("https://klasma.github.io/Logging_0780/kartor/A 43912-2021 karta.png", "A 43912-2021")</f>
        <v/>
      </c>
      <c r="V35">
        <f>HYPERLINK("https://klasma.github.io/Logging_0780/klagomål/A 43912-2021 FSC-klagomål.docx", "A 43912-2021")</f>
        <v/>
      </c>
      <c r="W35">
        <f>HYPERLINK("https://klasma.github.io/Logging_0780/klagomålsmail/A 43912-2021 FSC-klagomål mail.docx", "A 43912-2021")</f>
        <v/>
      </c>
      <c r="X35">
        <f>HYPERLINK("https://klasma.github.io/Logging_0780/tillsyn/A 43912-2021 tillsynsbegäran.docx", "A 43912-2021")</f>
        <v/>
      </c>
      <c r="Y35">
        <f>HYPERLINK("https://klasma.github.io/Logging_0780/tillsynsmail/A 43912-2021 tillsynsbegäran mail.docx", "A 43912-2021")</f>
        <v/>
      </c>
    </row>
    <row r="36" ht="15" customHeight="1">
      <c r="A36" t="inlineStr">
        <is>
          <t>A 69689-2021</t>
        </is>
      </c>
      <c r="B36" s="1" t="n">
        <v>44532</v>
      </c>
      <c r="C36" s="1" t="n">
        <v>45749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statliga verk och myndigheter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HYPERLINK("https://klasma.github.io/Logging_0780/artfynd/A 69689-2021 artfynd.xlsx", "A 69689-2021")</f>
        <v/>
      </c>
      <c r="T36">
        <f>HYPERLINK("https://klasma.github.io/Logging_0780/kartor/A 69689-2021 karta.png", "A 69689-2021")</f>
        <v/>
      </c>
      <c r="V36">
        <f>HYPERLINK("https://klasma.github.io/Logging_0780/klagomål/A 69689-2021 FSC-klagomål.docx", "A 69689-2021")</f>
        <v/>
      </c>
      <c r="W36">
        <f>HYPERLINK("https://klasma.github.io/Logging_0780/klagomålsmail/A 69689-2021 FSC-klagomål mail.docx", "A 69689-2021")</f>
        <v/>
      </c>
      <c r="X36">
        <f>HYPERLINK("https://klasma.github.io/Logging_0780/tillsyn/A 69689-2021 tillsynsbegäran.docx", "A 69689-2021")</f>
        <v/>
      </c>
      <c r="Y36">
        <f>HYPERLINK("https://klasma.github.io/Logging_0780/tillsynsmail/A 69689-2021 tillsynsbegäran mail.docx", "A 69689-2021")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45749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45749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45749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45749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45749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45749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45749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45749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45749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45749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45749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45749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45749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45749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45749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45749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45749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45749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45749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45749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45749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45749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45749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45749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45749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45749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45749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45749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45749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45749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45749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45749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45749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45749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45749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45749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45749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45749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45749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45749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45749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45749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45749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45749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45749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45749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45749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45749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45749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45749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45749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45749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45749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45749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45749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45749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45749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45749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45749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45749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45749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45749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45749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45749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45749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45749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45749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45749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45749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45749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45749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45749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45749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45749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45749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45749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45749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45749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45749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45749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45749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45749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45749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45749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45749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45749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45749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45749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45749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45749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45749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45749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45749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45749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45749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45749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45749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45749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45749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45749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45749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45749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45749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45749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45749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45749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45749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45749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45749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45749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45749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45749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45749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45749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45749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45749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45749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45749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45749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45749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45749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45749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45749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45749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45749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45749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45749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45749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45749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45749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45749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45749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45749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45749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45749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45749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45749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45749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45749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45749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45749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45749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45749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45749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45749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45749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45749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45749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45749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45749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45749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45749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45749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45749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45749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45749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45749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45749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45749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45749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45749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45749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45749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45749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45749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45749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45749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45749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45749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45749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45749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45749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45749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45749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45749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45749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45749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45749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45749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45749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45749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45749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45749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45749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45749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45749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45749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45749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45749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45749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45749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45749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45749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45749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45749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45749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45749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45749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45749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45749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45749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45749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45749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45749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45749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45749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45749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45749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45749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45749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45749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45749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45749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45749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45749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45749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45749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45749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45749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45749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45749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45749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45749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45749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45749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45749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45749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45749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45749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45749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45749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45749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45749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45749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45749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45749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45749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45749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45749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45749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45749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45749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45749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45749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45749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45749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45749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45749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45749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45749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45749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45749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45749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45749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45749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45749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45749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45749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45749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45749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45749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45749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45749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45749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45749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45749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45749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45749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45749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45749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45749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45749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45749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45749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45749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45749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45749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45749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45749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45749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45749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45749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45749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45749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45749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45749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45749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45749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45749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45749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45749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45749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45749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45749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45749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45749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45749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45749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45749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45749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45749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45749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45749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45749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45749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45749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45749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45749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45749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45749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45749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45749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45749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45749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45749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45749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45749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45749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45749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45749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45749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45749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45749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45749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45749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45749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45749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45749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45749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45749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45749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45749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45749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45749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45749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45749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45749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45749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45749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45749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45749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45749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45749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45749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45749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45749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45749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45749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45749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45749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45749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45749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45749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45749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45749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45749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45749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45749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45749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45749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45749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45749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45749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45749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45749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45749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45749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45749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45749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45749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45749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45749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45749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45749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45749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45749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45749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45749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45749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45749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45749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45749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45749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45749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45749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45749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45749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45749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45749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45749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45749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45749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45749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45749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45749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45749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45749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45749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45749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45749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45749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45749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45749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45749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45749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45749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45749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45749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45749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45749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45749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45749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45749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45749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45749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45749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45749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45749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45749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45749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45749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45749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45749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45749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45749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45749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45749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45749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45749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45749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45749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45749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45749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45749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45749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45749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45749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45749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45749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45749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45749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45749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45749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45749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45749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45749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45749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45749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45749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45749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45749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45749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45749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45749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45749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45749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45749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45749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45749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45749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45749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45749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45749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45749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45749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45749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45749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45749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45749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45749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45749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45749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45749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45749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45749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45749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45749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45749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45749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45749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45749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45749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45749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45749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45749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45749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45749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45749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45749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45749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45749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45749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45749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45749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45749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45749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45749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45749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45749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45749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45749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45749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45749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45749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45749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45749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45749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45749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45749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45749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45749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45749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45749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45749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45749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45749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45749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45749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45749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45749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45749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45749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45749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45749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45749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45749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45749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45749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45749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45749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45749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45749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45749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45749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45749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45749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45749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45749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45749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45749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45749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45749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45749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45749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45749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45749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45749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45749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45749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45749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45749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45749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45749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45749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45749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45749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45749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45749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45749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45749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45749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45749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45749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45749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45749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45749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45749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45749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45749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45749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45749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45749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45749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45749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45749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45749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45749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45749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45749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45749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45749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45749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45749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45749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45749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45749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45749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45749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45749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45749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45749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45749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45749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45749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45749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45749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45749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45749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45749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45749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45749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45749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45749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45749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45749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45749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45749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45749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45749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45749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45749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45749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45749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45749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45749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45749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45749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45749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45749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45749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45749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45749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45749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45749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45749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45749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45749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45749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45749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45749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45749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45749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45749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45749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45749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45749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45749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45749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45749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45749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45749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45749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45749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45749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45749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45749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45749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45749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45749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45749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45749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45749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45749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45749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45749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45749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45749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45749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45749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45749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45749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45749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45749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45749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45749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45749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45749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45749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45749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45749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45749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45749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45749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45749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45749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45749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45749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45749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45749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45749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45749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45749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45749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45749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45749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45749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45749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45749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45749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45749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45749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45749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45749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45749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45749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45749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45749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45749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45749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45749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45749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45749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45749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45749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45749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45749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45749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45749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45749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45749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45749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45749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45749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45749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45749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45749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45749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45749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45749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45749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45749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45749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45749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45749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45749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45749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45749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45749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45749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45749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45749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45749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45749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45749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45749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45749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45749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45749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45749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45749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45749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45749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45749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45749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45749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45749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45749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45749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45749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45749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45749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45749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45749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45749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45749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45749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45749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45749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45749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45749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45749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45749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45749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45749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45749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45749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45749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45749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45749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45749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45749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45749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45749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45749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45749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45749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45749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45749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45749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45749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45749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45749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45749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45749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45749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45749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45749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45749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45749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45749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45749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45749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45749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45749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45749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45749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45749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45749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45749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45749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45749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45749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45749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45749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45749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45749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45749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45749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45749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45749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45749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45749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45749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45749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45749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45749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45749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45749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45749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45749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45749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45749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45749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45749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45749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45749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45749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45749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45749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45749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45749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45749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45749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45749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45749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45749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45749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45749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45749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45749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45749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45749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45749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45749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45749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45749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45749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45749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45749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45749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45749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45749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45749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45749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45749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45749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45749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45749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45749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45749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45749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45749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45749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45749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45749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45749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45749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45749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45749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45749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45749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45749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45749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45749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45749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45749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45749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45749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45749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45749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45749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45749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45749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45749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45749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45749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45749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45749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45749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45749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45749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45749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45749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45749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45749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45749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45749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45749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45749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45749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45749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45749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45749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45749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45749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45749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45749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45749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45749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45749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45749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45749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45749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45749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45749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45749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45749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45749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45749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45749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45749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45749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45749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45749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45749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45749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45749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45749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45749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45749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45749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45749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45749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45749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45749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45749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45749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45749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45749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45749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45749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45749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45749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45749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45749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45749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45749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45749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45749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45749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45749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45749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45749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45749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45749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45749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45749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45749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45749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45749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45749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45749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45749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45749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45749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45749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45749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45749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45749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45749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45749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45749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45749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45749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45749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45749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45749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45749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45749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45749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45749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45749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45749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45749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45749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45749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45749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45749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45749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45749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45749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45749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45749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45749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45749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45749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45749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45749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45749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45749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45749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45749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45749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45749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45749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45749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45749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45749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45749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45749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45749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45749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45749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45749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45749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45749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45749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45749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45749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45749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45749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45749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45749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45749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45749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45749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45749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45749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45749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45749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45749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45749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45749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45749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45749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45749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45749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45749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45749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45749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45749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45749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45749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45749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45749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45749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45749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45749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45749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45749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45749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45749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45749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45749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45749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45749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45749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45749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45749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45749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45749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45749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45749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45749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45749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45749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45749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45749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45749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45749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45749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45749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45749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45749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45749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45749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45749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45749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45749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45749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45749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45749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45749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45749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45749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45749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45749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45749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45749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45749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45749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45749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45749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45749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45749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45749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45749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45749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45749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45749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45749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45749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45749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45749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45749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45749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45749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45749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45749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45749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45749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45749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45749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45749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45749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45749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45749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45749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45749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45749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45749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45749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45749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45749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45749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45749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45749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45749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45749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45749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45749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45749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45749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45749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45749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45749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45749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45749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45749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45749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45749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45749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45749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45749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45749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45749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45749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45749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45749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45749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45749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45749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45749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45749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45749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45749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45749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45749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45749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45749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45749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45749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45749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45749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45749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45749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45749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45749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45749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45749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45749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45749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45749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45749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45749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45749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45749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45749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45749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45749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45749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45749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45749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45749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45749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45749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45749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45749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45749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45749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45749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45749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45749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45749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45749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45749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45749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45749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45749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45749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45749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45749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45749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45749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45749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45749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45749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45749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45749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45749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45749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45749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45749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45749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45749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45749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45749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45749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45749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45749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45749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45749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45749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45749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45749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45749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45749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45749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45749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45749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45749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45749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45749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45749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45749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45749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45749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45749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45749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45749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45749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45749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45749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45749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45749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45749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45749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45749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45749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45749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45749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45749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45749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45749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45749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45749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45749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45749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45749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45749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45749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45749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45749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45749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45749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45749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45749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45749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45749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45749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45749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45749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45749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45749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45749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45749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45749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45749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45749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45749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45749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45749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45749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45749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45749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45749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45749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45749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45749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45749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45749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45749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45749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45749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45749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45749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45749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45749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45749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45749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45749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45749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45749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45749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45749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45749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45749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45749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45749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45749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45749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45749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45749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45749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45749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45749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45749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45749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45749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45749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45749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45749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45749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45749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45749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45749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45749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45749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45749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45749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45749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45749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45749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45749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45749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45749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45749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45749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45749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45749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45749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45749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45749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45749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45749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45749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45749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45749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45749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45749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45749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45749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45749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45749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45749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45749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45749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45749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45749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45749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45749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45749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45749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45749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45749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45749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45749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45749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45749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45749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45749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45749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45749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45749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45749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45749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45749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45749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45749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45749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45749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45749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45749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45749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45749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45749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45749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45749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45749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45749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45749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45749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45749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45749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45749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45749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45749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45749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45749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45749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45749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45749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45749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45749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45749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45749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45749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45749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45749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45749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45749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45749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45749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45749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45749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45749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45749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45749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45749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45749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45749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45749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45749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45749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45749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45749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45749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45749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45749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45749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45749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45749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45749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45749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45749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45749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45749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45749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45749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45749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45749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45749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45749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45749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45749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45749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45749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45749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45749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45749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45749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45749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45749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45749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45749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45749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45749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45749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45749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45749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45749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45749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45749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45749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45749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45749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45749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45749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45749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45749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45749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45749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45749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45749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45749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45749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45749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45749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45749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45749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45749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45749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45749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45749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45749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45749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45749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45749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45749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45749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45749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45749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45749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45749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45749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45749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45749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45749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45749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45749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45749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45749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45749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45749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45749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45749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45749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45749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45749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45749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45749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45749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45749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45749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45749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45749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45749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45749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45749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45749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45749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45749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45749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45749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45749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45749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45749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45749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45749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45749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45749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45749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45749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45749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45749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45749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45749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45749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45749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45749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45749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45749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45749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45749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45749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45749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45749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45749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45749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45749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45749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45749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45749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45749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45749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45749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45749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45749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45749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45749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45749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45749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45749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45749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45749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45749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45749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45749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45749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45749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45749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45749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45749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45749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45749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45749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45749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45749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45749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45749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45749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45749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45749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45749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45749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45749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45749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45749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45749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45749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45749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45749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45749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45749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45749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45749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45749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45749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45749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45749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45749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45749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45749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45749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45749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45749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45749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45749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45749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45749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45749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45749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45749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45749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45749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45749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45749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45749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45749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45749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45749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45749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45749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45749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45749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45749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45749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45749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45749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45749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45749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45749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45749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45749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45749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45749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45749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45749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45749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45749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45749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45749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45749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45749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45749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45749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45749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45749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45749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45749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45749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45749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45749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45749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45749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45749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45749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45749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45749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45749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45749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45749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45749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45749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45749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45749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45749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45749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45749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45749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45749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45749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45749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45749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45749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45749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45749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45749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45749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45749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45749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45749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45749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45749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45749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45749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45749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45749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45749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45749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45749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45749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45749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45749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45749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45749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45749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45749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45749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45749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45749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45749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45749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45749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45749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45749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45749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45749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45749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45749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45749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45749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45749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45749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45749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45749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45749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45749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45749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45749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45749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45749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45749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45749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45749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45749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45749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45749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45749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45749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45749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45749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45749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45749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45749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45749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45749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45749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45749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45749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45749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45749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45749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45749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45749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45749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45749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45749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45749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45749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45749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45749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45749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45749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45749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45749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45749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45749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45749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45749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45749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45749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45749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45749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45749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45749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45749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45749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45749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45749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45749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45749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45749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45749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45749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45749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45749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45749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45749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45749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45749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45749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45749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45749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45749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45749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45749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45749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45749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45749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45749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45749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45749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45749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45749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45749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45749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45749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45749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45749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45749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45749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45749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45749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45749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45749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45749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45749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45749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45749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45749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45749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45749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45749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45749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45749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45749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45749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45749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45749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45749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45749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45749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45749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45749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45749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45749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45749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45749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45749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45749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45749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45749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45749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45749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45749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45749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45749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45749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45749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45749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45749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45749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45749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45749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45749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45749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45749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45749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45749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45749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45749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45749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45749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45749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45749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45749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45749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11259-2025</t>
        </is>
      </c>
      <c r="B1895" s="1" t="n">
        <v>45726</v>
      </c>
      <c r="C1895" s="1" t="n">
        <v>45749</v>
      </c>
      <c r="D1895" t="inlineStr">
        <is>
          <t>KRONOBERGS LÄN</t>
        </is>
      </c>
      <c r="E1895" t="inlineStr">
        <is>
          <t>VÄXJÖ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45749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45749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45749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45749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45749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45749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45749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45749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45749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45749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45749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13960-2025</t>
        </is>
      </c>
      <c r="B1907" s="1" t="n">
        <v>45738</v>
      </c>
      <c r="C1907" s="1" t="n">
        <v>45749</v>
      </c>
      <c r="D1907" t="inlineStr">
        <is>
          <t>KRONOBERGS LÄN</t>
        </is>
      </c>
      <c r="E1907" t="inlineStr">
        <is>
          <t>VÄXJÖ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13961-2025</t>
        </is>
      </c>
      <c r="B1908" s="1" t="n">
        <v>45738</v>
      </c>
      <c r="C1908" s="1" t="n">
        <v>45749</v>
      </c>
      <c r="D1908" t="inlineStr">
        <is>
          <t>KRONOBERGS LÄN</t>
        </is>
      </c>
      <c r="E1908" t="inlineStr">
        <is>
          <t>VÄXJÖ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13963-2025</t>
        </is>
      </c>
      <c r="B1909" s="1" t="n">
        <v>45738</v>
      </c>
      <c r="C1909" s="1" t="n">
        <v>45749</v>
      </c>
      <c r="D1909" t="inlineStr">
        <is>
          <t>KRONOBERGS LÄN</t>
        </is>
      </c>
      <c r="E1909" t="inlineStr">
        <is>
          <t>VÄXJÖ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45749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45749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14166-2025</t>
        </is>
      </c>
      <c r="B1912" s="1" t="n">
        <v>45740</v>
      </c>
      <c r="C1912" s="1" t="n">
        <v>45749</v>
      </c>
      <c r="D1912" t="inlineStr">
        <is>
          <t>KRONOBERGS LÄN</t>
        </is>
      </c>
      <c r="E1912" t="inlineStr">
        <is>
          <t>VÄXJÖ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14226-2025</t>
        </is>
      </c>
      <c r="B1913" s="1" t="n">
        <v>45740</v>
      </c>
      <c r="C1913" s="1" t="n">
        <v>45749</v>
      </c>
      <c r="D1913" t="inlineStr">
        <is>
          <t>KRONOBERGS LÄN</t>
        </is>
      </c>
      <c r="E1913" t="inlineStr">
        <is>
          <t>VÄXJÖ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14852-2025</t>
        </is>
      </c>
      <c r="B1914" s="1" t="n">
        <v>45743</v>
      </c>
      <c r="C1914" s="1" t="n">
        <v>45749</v>
      </c>
      <c r="D1914" t="inlineStr">
        <is>
          <t>KRONOBERGS LÄN</t>
        </is>
      </c>
      <c r="E1914" t="inlineStr">
        <is>
          <t>VÄXJÖ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15010-2025</t>
        </is>
      </c>
      <c r="B1915" s="1" t="n">
        <v>45743</v>
      </c>
      <c r="C1915" s="1" t="n">
        <v>45749</v>
      </c>
      <c r="D1915" t="inlineStr">
        <is>
          <t>KRONOBERGS LÄN</t>
        </is>
      </c>
      <c r="E1915" t="inlineStr">
        <is>
          <t>VÄXJÖ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14989-2025</t>
        </is>
      </c>
      <c r="B1916" s="1" t="n">
        <v>45743</v>
      </c>
      <c r="C1916" s="1" t="n">
        <v>45749</v>
      </c>
      <c r="D1916" t="inlineStr">
        <is>
          <t>KRONOBERGS LÄN</t>
        </is>
      </c>
      <c r="E1916" t="inlineStr">
        <is>
          <t>VÄXJÖ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14984-2025</t>
        </is>
      </c>
      <c r="B1917" s="1" t="n">
        <v>45743</v>
      </c>
      <c r="C1917" s="1" t="n">
        <v>45749</v>
      </c>
      <c r="D1917" t="inlineStr">
        <is>
          <t>KRONOBERGS LÄN</t>
        </is>
      </c>
      <c r="E1917" t="inlineStr">
        <is>
          <t>VÄXJÖ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14868-2025</t>
        </is>
      </c>
      <c r="B1918" s="1" t="n">
        <v>45743</v>
      </c>
      <c r="C1918" s="1" t="n">
        <v>45749</v>
      </c>
      <c r="D1918" t="inlineStr">
        <is>
          <t>KRONOBERGS LÄN</t>
        </is>
      </c>
      <c r="E1918" t="inlineStr">
        <is>
          <t>VÄXJÖ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>
      <c r="A1919" t="inlineStr">
        <is>
          <t>A 15349-2025</t>
        </is>
      </c>
      <c r="B1919" s="1" t="n">
        <v>45747</v>
      </c>
      <c r="C1919" s="1" t="n">
        <v>45749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2025-04-02T17:07:08Z</dcterms:created>
  <dcterms:modified xmlns:dcterms="http://purl.org/dc/terms/" xmlns:xsi="http://www.w3.org/2001/XMLSchema-instance" xsi:type="dcterms:W3CDTF">2025-04-02T17:07:10Z</dcterms:modified>
</cp:coreProperties>
</file>