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45758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45758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45758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45758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45758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45758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45758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45758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45758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45758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45758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45758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45758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45758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45758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26684-2023</t>
        </is>
      </c>
      <c r="B17" s="1" t="n">
        <v>45093</v>
      </c>
      <c r="C17" s="1" t="n">
        <v>45758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36774-2023</t>
        </is>
      </c>
      <c r="B18" s="1" t="n">
        <v>45153</v>
      </c>
      <c r="C18" s="1" t="n">
        <v>45758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Rostfläck</t>
        </is>
      </c>
      <c r="S18">
        <f>HYPERLINK("https://klasma.github.io/Logging_0780/artfynd/A 36774-2023 artfynd.xlsx", "A 36774-2023")</f>
        <v/>
      </c>
      <c r="T18">
        <f>HYPERLINK("https://klasma.github.io/Logging_0780/kartor/A 36774-2023 karta.png", "A 36774-2023")</f>
        <v/>
      </c>
      <c r="V18">
        <f>HYPERLINK("https://klasma.github.io/Logging_0780/klagomål/A 36774-2023 FSC-klagomål.docx", "A 36774-2023")</f>
        <v/>
      </c>
      <c r="W18">
        <f>HYPERLINK("https://klasma.github.io/Logging_0780/klagomålsmail/A 36774-2023 FSC-klagomål mail.docx", "A 36774-2023")</f>
        <v/>
      </c>
      <c r="X18">
        <f>HYPERLINK("https://klasma.github.io/Logging_0780/tillsyn/A 36774-2023 tillsynsbegäran.docx", "A 36774-2023")</f>
        <v/>
      </c>
      <c r="Y18">
        <f>HYPERLINK("https://klasma.github.io/Logging_0780/tillsynsmail/A 36774-2023 tillsynsbegäran mail.docx", "A 36774-2023")</f>
        <v/>
      </c>
    </row>
    <row r="19" ht="15" customHeight="1">
      <c r="A19" t="inlineStr">
        <is>
          <t>A 47670-2023</t>
        </is>
      </c>
      <c r="B19" s="1" t="n">
        <v>45203</v>
      </c>
      <c r="C19" s="1" t="n">
        <v>45758</v>
      </c>
      <c r="D19" t="inlineStr">
        <is>
          <t>KRONOBERGS LÄN</t>
        </is>
      </c>
      <c r="E19" t="inlineStr">
        <is>
          <t>VÄXJÖ</t>
        </is>
      </c>
      <c r="G19" t="n">
        <v>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Kopparödla</t>
        </is>
      </c>
      <c r="S19">
        <f>HYPERLINK("https://klasma.github.io/Logging_0780/artfynd/A 47670-2023 artfynd.xlsx", "A 47670-2023")</f>
        <v/>
      </c>
      <c r="T19">
        <f>HYPERLINK("https://klasma.github.io/Logging_0780/kartor/A 47670-2023 karta.png", "A 47670-2023")</f>
        <v/>
      </c>
      <c r="V19">
        <f>HYPERLINK("https://klasma.github.io/Logging_0780/klagomål/A 47670-2023 FSC-klagomål.docx", "A 47670-2023")</f>
        <v/>
      </c>
      <c r="W19">
        <f>HYPERLINK("https://klasma.github.io/Logging_0780/klagomålsmail/A 47670-2023 FSC-klagomål mail.docx", "A 47670-2023")</f>
        <v/>
      </c>
      <c r="X19">
        <f>HYPERLINK("https://klasma.github.io/Logging_0780/tillsyn/A 47670-2023 tillsynsbegäran.docx", "A 47670-2023")</f>
        <v/>
      </c>
      <c r="Y19">
        <f>HYPERLINK("https://klasma.github.io/Logging_0780/tillsynsmail/A 47670-2023 tillsynsbegäran mail.docx", "A 47670-2023")</f>
        <v/>
      </c>
      <c r="Z19">
        <f>HYPERLINK("https://klasma.github.io/Logging_0780/fåglar/A 47670-2023 prioriterade fågelarter.docx", "A 47670-2023")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45758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45758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45758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61081-2024</t>
        </is>
      </c>
      <c r="B23" s="1" t="n">
        <v>45645</v>
      </c>
      <c r="C23" s="1" t="n">
        <v>45758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HYPERLINK("https://klasma.github.io/Logging_0780/artfynd/A 61081-2024 artfynd.xlsx", "A 61081-2024")</f>
        <v/>
      </c>
      <c r="T23">
        <f>HYPERLINK("https://klasma.github.io/Logging_0780/kartor/A 61081-2024 karta.png", "A 61081-2024")</f>
        <v/>
      </c>
      <c r="V23">
        <f>HYPERLINK("https://klasma.github.io/Logging_0780/klagomål/A 61081-2024 FSC-klagomål.docx", "A 61081-2024")</f>
        <v/>
      </c>
      <c r="W23">
        <f>HYPERLINK("https://klasma.github.io/Logging_0780/klagomålsmail/A 61081-2024 FSC-klagomål mail.docx", "A 61081-2024")</f>
        <v/>
      </c>
      <c r="X23">
        <f>HYPERLINK("https://klasma.github.io/Logging_0780/tillsyn/A 61081-2024 tillsynsbegäran.docx", "A 61081-2024")</f>
        <v/>
      </c>
      <c r="Y23">
        <f>HYPERLINK("https://klasma.github.io/Logging_0780/tillsynsmail/A 61081-2024 tillsynsbegäran mail.docx", "A 61081-2024")</f>
        <v/>
      </c>
      <c r="Z23">
        <f>HYPERLINK("https://klasma.github.io/Logging_0780/fåglar/A 61081-2024 prioriterade fågelarter.docx", "A 61081-2024")</f>
        <v/>
      </c>
    </row>
    <row r="24" ht="15" customHeight="1">
      <c r="A24" t="inlineStr">
        <is>
          <t>A 32517-2019</t>
        </is>
      </c>
      <c r="B24" s="1" t="n">
        <v>43646</v>
      </c>
      <c r="C24" s="1" t="n">
        <v>45758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HYPERLINK("https://klasma.github.io/Logging_0780/artfynd/A 32517-2019 artfynd.xlsx", "A 32517-2019")</f>
        <v/>
      </c>
      <c r="T24">
        <f>HYPERLINK("https://klasma.github.io/Logging_0780/kartor/A 32517-2019 karta.png", "A 32517-2019")</f>
        <v/>
      </c>
      <c r="V24">
        <f>HYPERLINK("https://klasma.github.io/Logging_0780/klagomål/A 32517-2019 FSC-klagomål.docx", "A 32517-2019")</f>
        <v/>
      </c>
      <c r="W24">
        <f>HYPERLINK("https://klasma.github.io/Logging_0780/klagomålsmail/A 32517-2019 FSC-klagomål mail.docx", "A 32517-2019")</f>
        <v/>
      </c>
      <c r="X24">
        <f>HYPERLINK("https://klasma.github.io/Logging_0780/tillsyn/A 32517-2019 tillsynsbegäran.docx", "A 32517-2019")</f>
        <v/>
      </c>
      <c r="Y24">
        <f>HYPERLINK("https://klasma.github.io/Logging_0780/tillsynsmail/A 32517-2019 tillsynsbegäran mail.docx", "A 32517-2019")</f>
        <v/>
      </c>
    </row>
    <row r="25" ht="15" customHeight="1">
      <c r="A25" t="inlineStr">
        <is>
          <t>A 41158-2019</t>
        </is>
      </c>
      <c r="B25" s="1" t="n">
        <v>43698</v>
      </c>
      <c r="C25" s="1" t="n">
        <v>45758</v>
      </c>
      <c r="D25" t="inlineStr">
        <is>
          <t>KRONOBERGS LÄN</t>
        </is>
      </c>
      <c r="E25" t="inlineStr">
        <is>
          <t>VÄXJÖ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41158-2019 artfynd.xlsx", "A 41158-2019")</f>
        <v/>
      </c>
      <c r="T25">
        <f>HYPERLINK("https://klasma.github.io/Logging_0780/kartor/A 41158-2019 karta.png", "A 41158-2019")</f>
        <v/>
      </c>
      <c r="U25">
        <f>HYPERLINK("https://klasma.github.io/Logging_0780/knärot/A 41158-2019 karta knärot.png", "A 41158-2019")</f>
        <v/>
      </c>
      <c r="V25">
        <f>HYPERLINK("https://klasma.github.io/Logging_0780/klagomål/A 41158-2019 FSC-klagomål.docx", "A 41158-2019")</f>
        <v/>
      </c>
      <c r="W25">
        <f>HYPERLINK("https://klasma.github.io/Logging_0780/klagomålsmail/A 41158-2019 FSC-klagomål mail.docx", "A 41158-2019")</f>
        <v/>
      </c>
      <c r="X25">
        <f>HYPERLINK("https://klasma.github.io/Logging_0780/tillsyn/A 41158-2019 tillsynsbegäran.docx", "A 41158-2019")</f>
        <v/>
      </c>
      <c r="Y25">
        <f>HYPERLINK("https://klasma.github.io/Logging_0780/tillsynsmail/A 41158-2019 tillsynsbegäran mail.docx", "A 41158-2019")</f>
        <v/>
      </c>
    </row>
    <row r="26" ht="15" customHeight="1">
      <c r="A26" t="inlineStr">
        <is>
          <t>A 2701-2020</t>
        </is>
      </c>
      <c r="B26" s="1" t="n">
        <v>43849</v>
      </c>
      <c r="C26" s="1" t="n">
        <v>45758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71.90000000000001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Backsvala</t>
        </is>
      </c>
      <c r="S26">
        <f>HYPERLINK("https://klasma.github.io/Logging_0780/artfynd/A 2701-2020 artfynd.xlsx", "A 2701-2020")</f>
        <v/>
      </c>
      <c r="T26">
        <f>HYPERLINK("https://klasma.github.io/Logging_0780/kartor/A 2701-2020 karta.png", "A 2701-2020")</f>
        <v/>
      </c>
      <c r="V26">
        <f>HYPERLINK("https://klasma.github.io/Logging_0780/klagomål/A 2701-2020 FSC-klagomål.docx", "A 2701-2020")</f>
        <v/>
      </c>
      <c r="W26">
        <f>HYPERLINK("https://klasma.github.io/Logging_0780/klagomålsmail/A 2701-2020 FSC-klagomål mail.docx", "A 2701-2020")</f>
        <v/>
      </c>
      <c r="X26">
        <f>HYPERLINK("https://klasma.github.io/Logging_0780/tillsyn/A 2701-2020 tillsynsbegäran.docx", "A 2701-2020")</f>
        <v/>
      </c>
      <c r="Y26">
        <f>HYPERLINK("https://klasma.github.io/Logging_0780/tillsynsmail/A 2701-2020 tillsynsbegäran mail.docx", "A 2701-2020")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45758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45758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45758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45758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45758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45758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45758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45758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45758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45758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45758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45758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45758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45758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45758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45758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45758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45758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45758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45758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45758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45758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45758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45758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45758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45758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45758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45758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45758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45758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45758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45758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45758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45758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45758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45758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45758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45758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45758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45758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45758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45758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45758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45758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45758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45758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45758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45758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45758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45758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45758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45758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45758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45758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45758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45758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45758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45758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45758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45758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45758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45758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45758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45758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45758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45758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45758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45758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45758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45758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45758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45758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45758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45758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45758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45758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45758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45758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45758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45758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45758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45758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45758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45758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45758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45758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45758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45758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45758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45758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45758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45758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45758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45758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45758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45758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45758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45758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45758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45758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45758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45758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45758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45758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45758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45758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45758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45758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45758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45758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45758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45758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45758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45758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45758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45758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45758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45758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45758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45758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45758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45758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45758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45758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45758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45758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45758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45758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45758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45758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45758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45758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45758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45758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45758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45758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45758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45758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45758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45758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45758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45758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45758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45758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45758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45758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45758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45758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45758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45758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45758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45758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45758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45758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45758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45758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45758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45758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45758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45758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45758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45758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45758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45758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45758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45758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45758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45758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45758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45758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45758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45758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45758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45758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45758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45758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45758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45758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45758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45758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45758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45758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45758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45758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45758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45758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45758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45758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45758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45758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45758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45758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45758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45758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45758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45758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45758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45758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45758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45758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45758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45758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45758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45758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45758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45758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45758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45758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45758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45758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45758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45758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45758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45758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45758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45758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45758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45758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45758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45758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45758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45758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45758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45758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45758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45758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45758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45758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45758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45758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45758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45758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45758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45758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45758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45758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45758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45758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45758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45758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45758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45758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45758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45758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45758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45758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45758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45758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45758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45758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45758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45758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45758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45758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45758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45758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45758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45758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45758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45758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45758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45758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45758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45758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45758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45758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45758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45758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45758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45758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45758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45758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45758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45758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45758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45758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45758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45758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45758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45758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45758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45758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45758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45758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45758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45758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45758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45758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45758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45758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45758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45758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45758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45758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45758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45758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45758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45758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45758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45758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45758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45758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45758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45758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45758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45758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45758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45758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45758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45758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45758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45758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45758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45758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45758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45758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45758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45758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45758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45758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45758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45758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45758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45758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45758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45758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45758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45758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45758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45758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45758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45758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45758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45758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45758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45758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45758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45758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45758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45758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45758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45758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45758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45758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45758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45758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45758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45758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45758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45758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45758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45758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45758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45758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45758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45758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45758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45758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45758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45758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45758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45758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45758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45758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45758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45758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45758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45758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45758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45758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45758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45758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45758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45758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45758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45758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45758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45758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45758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45758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45758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45758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45758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45758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45758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45758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45758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45758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45758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45758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45758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45758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45758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45758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45758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45758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45758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45758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45758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45758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45758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45758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45758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45758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45758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45758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45758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45758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45758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45758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45758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45758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45758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45758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45758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45758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45758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45758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45758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45758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45758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45758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45758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45758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45758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45758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45758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45758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45758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45758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45758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45758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45758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45758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45758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45758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45758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45758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45758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45758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45758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45758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45758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45758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45758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45758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45758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45758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45758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45758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45758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45758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45758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45758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45758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45758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45758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45758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45758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45758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45758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45758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45758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45758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45758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45758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45758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45758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45758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45758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45758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45758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45758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45758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45758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45758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45758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45758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45758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45758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45758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45758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45758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45758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45758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45758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45758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45758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45758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45758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45758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45758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45758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45758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45758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45758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45758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45758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45758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45758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45758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45758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45758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45758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45758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45758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45758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45758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45758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45758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45758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45758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45758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45758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45758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45758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45758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45758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45758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45758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45758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45758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45758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45758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45758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45758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45758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45758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45758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45758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45758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45758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45758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45758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45758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45758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45758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45758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45758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45758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45758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45758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45758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45758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45758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45758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45758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45758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45758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45758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45758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45758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45758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45758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45758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45758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45758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45758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45758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45758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45758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45758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45758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45758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45758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45758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45758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45758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45758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45758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45758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45758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45758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45758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45758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45758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45758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45758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45758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45758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45758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45758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45758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45758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45758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45758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45758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45758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45758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45758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45758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45758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45758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45758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45758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45758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45758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45758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45758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45758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45758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45758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45758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45758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45758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45758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45758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45758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45758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45758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45758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45758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45758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45758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45758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45758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45758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45758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45758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45758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45758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45758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45758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45758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45758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45758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45758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45758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45758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45758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45758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45758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45758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45758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45758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45758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45758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45758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45758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45758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45758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45758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45758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45758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45758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45758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45758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45758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45758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45758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45758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45758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45758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45758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45758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45758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45758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45758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45758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45758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45758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45758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45758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45758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45758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45758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45758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45758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45758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45758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45758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45758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45758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45758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45758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45758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45758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45758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45758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45758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45758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45758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45758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45758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45758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45758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45758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45758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45758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45758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45758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45758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45758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45758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45758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45758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45758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45758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45758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45758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45758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45758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45758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45758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45758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45758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45758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45758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45758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45758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45758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45758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45758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45758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45758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45758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45758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45758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45758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45758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45758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45758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45758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45758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45758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45758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45758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45758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45758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45758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45758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45758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45758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45758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45758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45758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45758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45758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45758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45758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45758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45758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45758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45758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45758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45758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45758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45758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45758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45758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45758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45758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45758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45758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45758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45758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45758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45758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45758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45758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45758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45758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45758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45758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45758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45758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45758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45758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45758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45758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45758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45758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45758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45758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45758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45758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45758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45758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45758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45758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45758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45758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45758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45758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45758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45758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45758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45758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45758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45758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45758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45758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45758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45758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45758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45758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45758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45758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45758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45758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45758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45758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45758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45758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45758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45758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45758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45758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45758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45758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45758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45758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45758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45758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45758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45758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45758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45758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45758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45758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45758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45758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45758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45758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45758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45758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45758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45758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45758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45758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45758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45758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45758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45758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45758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45758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45758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45758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45758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45758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45758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45758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45758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45758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45758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45758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45758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45758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45758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45758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45758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45758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45758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45758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45758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45758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45758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45758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45758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45758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45758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45758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45758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45758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45758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45758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45758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45758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45758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45758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45758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45758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45758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45758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45758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45758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45758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45758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45758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45758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45758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45758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45758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45758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45758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45758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45758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45758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45758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45758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45758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45758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45758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45758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45758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45758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45758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45758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45758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45758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45758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45758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45758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45758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45758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45758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45758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45758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45758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45758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45758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45758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45758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45758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45758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45758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45758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45758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45758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45758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45758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45758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45758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45758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45758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45758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45758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45758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45758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45758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45758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45758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45758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45758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45758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45758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45758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45758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45758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45758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45758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45758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45758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45758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45758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45758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45758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45758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45758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45758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45758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45758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45758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45758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45758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45758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45758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45758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45758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45758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45758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45758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45758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45758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45758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45758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45758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45758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45758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45758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45758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45758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45758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45758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45758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45758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45758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45758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45758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45758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45758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45758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45758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45758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45758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45758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45758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45758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45758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45758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45758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45758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45758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45758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45758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45758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45758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45758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45758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45758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45758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45758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45758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45758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45758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45758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45758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45758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45758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45758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45758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45758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45758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45758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45758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45758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45758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45758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45758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45758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45758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45758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45758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45758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45758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45758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45758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45758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45758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45758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45758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45758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45758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45758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45758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45758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45758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45758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45758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45758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45758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45758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45758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45758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45758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45758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45758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45758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45758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45758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45758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45758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45758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45758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45758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45758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45758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45758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45758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45758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45758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45758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45758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45758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45758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45758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45758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45758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45758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45758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45758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45758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45758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45758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45758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45758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45758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45758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45758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45758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45758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45758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45758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45758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45758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45758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45758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45758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45758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45758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45758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45758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45758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45758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45758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45758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45758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45758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45758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45758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45758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45758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45758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45758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45758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45758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45758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45758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45758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45758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45758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45758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45758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45758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45758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45758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45758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45758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45758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45758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45758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45758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45758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45758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45758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45758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45758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45758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45758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45758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45758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45758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45758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45758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45758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45758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45758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45758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45758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45758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45758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45758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45758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45758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45758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45758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45758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45758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45758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45758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45758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45758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45758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45758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45758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45758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45758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45758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45758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45758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45758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45758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45758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45758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45758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45758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45758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45758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45758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45758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45758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45758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45758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45758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45758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45758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45758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45758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45758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45758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45758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45758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45758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45758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45758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45758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45758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45758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45758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45758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45758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45758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45758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45758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45758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45758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45758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45758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45758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45758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45758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45758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45758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45758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45758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45758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45758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45758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45758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45758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45758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45758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45758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45758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45758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45758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45758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45758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45758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45758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45758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45758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45758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45758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45758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45758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45758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45758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45758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45758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45758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45758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45758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45758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45758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45758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45758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45758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45758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45758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45758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45758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45758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45758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45758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45758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45758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45758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45758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45758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45758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45758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45758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45758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45758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45758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45758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45758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45758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45758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45758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45758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45758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45758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45758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45758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45758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45758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45758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45758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45758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45758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45758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45758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45758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45758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45758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45758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45758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45758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45758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45758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45758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45758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45758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45758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45758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45758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45758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45758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45758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45758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45758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45758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45758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45758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45758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45758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45758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45758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45758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45758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45758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45758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45758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45758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45758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45758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45758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45758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45758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45758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45758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45758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45758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45758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45758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45758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45758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45758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45758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45758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45758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45758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45758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45758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45758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45758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45758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45758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45758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45758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45758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45758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45758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45758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45758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45758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45758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45758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45758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45758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45758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45758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45758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45758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45758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45758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45758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45758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45758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45758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45758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45758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45758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45758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45758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45758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45758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45758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45758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45758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45758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45758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45758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45758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45758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45758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45758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45758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45758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45758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45758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45758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45758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45758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45758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45758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45758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45758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45758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45758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45758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45758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45758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45758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45758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45758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45758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45758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45758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45758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45758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45758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45758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45758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45758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45758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45758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45758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45758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45758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45758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45758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45758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45758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45758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45758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45758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45758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45758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45758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45758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45758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45758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45758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45758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45758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45758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45758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45758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45758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45758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45758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45758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45758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45758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45758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45758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45758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45758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45758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45758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45758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45758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45758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45758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45758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45758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45758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45758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45758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45758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45758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45758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45758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45758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45758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45758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45758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45758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45758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45758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45758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45758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45758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45758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45758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45758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45758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45758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45758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45758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45758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45758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45758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45758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45758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45758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45758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45758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45758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45758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45758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45758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45758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45758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45758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45758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45758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45758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45758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45758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45758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45758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45758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45758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45758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45758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45758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45758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45758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45758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45758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45758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45758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45758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45758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45758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45758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45758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45758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45758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45758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45758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45758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45758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45758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45758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45758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45758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45758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45758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45758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45758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45758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45758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45758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45758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45758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45758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45758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45758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45758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45758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45758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45758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45758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45758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45758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45758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45758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45758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45758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45758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45758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45758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45758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45758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45758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45758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45758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45758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45758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45758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45758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45758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45758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45758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45758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45758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45758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45758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45758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45758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45758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45758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45758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45758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45758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45758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45758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45758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45758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45758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45758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45758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45758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45758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45758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45758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45758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45758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45758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45758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45758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45758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45758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45758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45758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45758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45758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45758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45758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45758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45758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45758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45758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45758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45758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45758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45758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45758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45758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45758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45758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45758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45758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45758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45758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45758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45758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45758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45758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45758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45758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45758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45758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45758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45758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45758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45758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45758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45758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45758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45758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45758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45758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45758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45758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45758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45758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45758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45758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45758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45758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45758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45758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45758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45758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45758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45758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45758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45758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45758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45758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45758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45758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45758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45758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45758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45758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45758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45758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45758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45758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45758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45758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45758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45758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45758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45758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45758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45758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45758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45758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45758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45758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45758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45758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45758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45758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45758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45758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45758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45758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45758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45758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45758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45758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45758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45758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45758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45758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45758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45758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45758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45758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45758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45758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45758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45758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45758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45758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45758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45758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45758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45758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45758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45758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45758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45758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45758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45758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45758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45758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45758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45758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45758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45758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45758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45758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45758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45758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45758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45758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45758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45758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45758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45758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45758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45758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45758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45758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45758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45758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45758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45758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45758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45758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45758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45758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45758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45758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45758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45758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45758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45758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45758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45758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45758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45758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45758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45758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45758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45758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45758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45758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45758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45758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45758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45758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45758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45758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45758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45758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45758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45758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45758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45758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45758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45758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45758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45758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45758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45758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45758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45758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45758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45758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45758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45758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45758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45758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45758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45758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45758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45758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45758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45758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45758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45758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45758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45758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45758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45758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45758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45758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45758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45758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45758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45758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45758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45758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45758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45758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45758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45758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45758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45758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45758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45758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45758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45758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45758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45758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45758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45758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45758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45758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45758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45758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45758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45758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45758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45758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45758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45758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45758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45758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45758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45758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45758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45758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45758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45758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45758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45758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45758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45758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45758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45758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45758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45758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45758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45758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45758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45758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45758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45758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45758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45758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45758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45758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45758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45758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45758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45758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45758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45758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45758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45758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45758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45758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45758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45758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45758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45758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45758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45758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45758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45758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45758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45758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45758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45758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45758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45758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45758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45758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45758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45758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45758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45758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45758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45758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45758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45758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11265-2025</t>
        </is>
      </c>
      <c r="B1895" s="1" t="n">
        <v>45726</v>
      </c>
      <c r="C1895" s="1" t="n">
        <v>45758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11259-2025</t>
        </is>
      </c>
      <c r="B1896" s="1" t="n">
        <v>45726</v>
      </c>
      <c r="C1896" s="1" t="n">
        <v>45758</v>
      </c>
      <c r="D1896" t="inlineStr">
        <is>
          <t>KRONOBERGS LÄN</t>
        </is>
      </c>
      <c r="E1896" t="inlineStr">
        <is>
          <t>VÄXJÖ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45758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45758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45758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45758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45758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45758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45758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45758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45758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45758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13962-2025</t>
        </is>
      </c>
      <c r="B1907" s="1" t="n">
        <v>45738</v>
      </c>
      <c r="C1907" s="1" t="n">
        <v>45758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45758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45758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45758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45758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14166-2025</t>
        </is>
      </c>
      <c r="B1912" s="1" t="n">
        <v>45740</v>
      </c>
      <c r="C1912" s="1" t="n">
        <v>45758</v>
      </c>
      <c r="D1912" t="inlineStr">
        <is>
          <t>KRONOBERGS LÄN</t>
        </is>
      </c>
      <c r="E1912" t="inlineStr">
        <is>
          <t>VÄXJÖ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14226-2025</t>
        </is>
      </c>
      <c r="B1913" s="1" t="n">
        <v>45740</v>
      </c>
      <c r="C1913" s="1" t="n">
        <v>45758</v>
      </c>
      <c r="D1913" t="inlineStr">
        <is>
          <t>KRONOBERGS LÄN</t>
        </is>
      </c>
      <c r="E1913" t="inlineStr">
        <is>
          <t>VÄXJÖ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14852-2025</t>
        </is>
      </c>
      <c r="B1914" s="1" t="n">
        <v>45743</v>
      </c>
      <c r="C1914" s="1" t="n">
        <v>45758</v>
      </c>
      <c r="D1914" t="inlineStr">
        <is>
          <t>KRONOBERGS LÄN</t>
        </is>
      </c>
      <c r="E1914" t="inlineStr">
        <is>
          <t>VÄXJÖ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15010-2025</t>
        </is>
      </c>
      <c r="B1915" s="1" t="n">
        <v>45743</v>
      </c>
      <c r="C1915" s="1" t="n">
        <v>45758</v>
      </c>
      <c r="D1915" t="inlineStr">
        <is>
          <t>KRONOBERGS LÄN</t>
        </is>
      </c>
      <c r="E1915" t="inlineStr">
        <is>
          <t>VÄXJÖ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14984-2025</t>
        </is>
      </c>
      <c r="B1916" s="1" t="n">
        <v>45743</v>
      </c>
      <c r="C1916" s="1" t="n">
        <v>45758</v>
      </c>
      <c r="D1916" t="inlineStr">
        <is>
          <t>KRONOBERGS LÄN</t>
        </is>
      </c>
      <c r="E1916" t="inlineStr">
        <is>
          <t>VÄXJÖ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14868-2025</t>
        </is>
      </c>
      <c r="B1917" s="1" t="n">
        <v>45743</v>
      </c>
      <c r="C1917" s="1" t="n">
        <v>45758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14989-2025</t>
        </is>
      </c>
      <c r="B1918" s="1" t="n">
        <v>45743</v>
      </c>
      <c r="C1918" s="1" t="n">
        <v>45758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45758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15995-2025</t>
        </is>
      </c>
      <c r="B1920" s="1" t="n">
        <v>45749</v>
      </c>
      <c r="C1920" s="1" t="n">
        <v>45758</v>
      </c>
      <c r="D1920" t="inlineStr">
        <is>
          <t>KRONOBERGS LÄN</t>
        </is>
      </c>
      <c r="E1920" t="inlineStr">
        <is>
          <t>VÄXJÖ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16058-2025</t>
        </is>
      </c>
      <c r="B1921" s="1" t="n">
        <v>45749</v>
      </c>
      <c r="C1921" s="1" t="n">
        <v>45758</v>
      </c>
      <c r="D1921" t="inlineStr">
        <is>
          <t>KRONOBERGS LÄN</t>
        </is>
      </c>
      <c r="E1921" t="inlineStr">
        <is>
          <t>VÄXJÖ</t>
        </is>
      </c>
      <c r="F1921" t="inlineStr">
        <is>
          <t>Kyrkan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15930-2025</t>
        </is>
      </c>
      <c r="B1922" s="1" t="n">
        <v>45749</v>
      </c>
      <c r="C1922" s="1" t="n">
        <v>45758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16241-2025</t>
        </is>
      </c>
      <c r="B1923" s="1" t="n">
        <v>45750</v>
      </c>
      <c r="C1923" s="1" t="n">
        <v>45758</v>
      </c>
      <c r="D1923" t="inlineStr">
        <is>
          <t>KRONOBERGS LÄN</t>
        </is>
      </c>
      <c r="E1923" t="inlineStr">
        <is>
          <t>VÄXJÖ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16594-2025</t>
        </is>
      </c>
      <c r="B1924" s="1" t="n">
        <v>45753</v>
      </c>
      <c r="C1924" s="1" t="n">
        <v>45758</v>
      </c>
      <c r="D1924" t="inlineStr">
        <is>
          <t>KRONOBERGS LÄN</t>
        </is>
      </c>
      <c r="E1924" t="inlineStr">
        <is>
          <t>VÄXJÖ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16591-2025</t>
        </is>
      </c>
      <c r="B1925" s="1" t="n">
        <v>45753</v>
      </c>
      <c r="C1925" s="1" t="n">
        <v>45758</v>
      </c>
      <c r="D1925" t="inlineStr">
        <is>
          <t>KRONOBERGS LÄN</t>
        </is>
      </c>
      <c r="E1925" t="inlineStr">
        <is>
          <t>VÄXJÖ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16593-2025</t>
        </is>
      </c>
      <c r="B1926" s="1" t="n">
        <v>45753</v>
      </c>
      <c r="C1926" s="1" t="n">
        <v>45758</v>
      </c>
      <c r="D1926" t="inlineStr">
        <is>
          <t>KRONOBERGS LÄN</t>
        </is>
      </c>
      <c r="E1926" t="inlineStr">
        <is>
          <t>VÄXJÖ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16592-2025</t>
        </is>
      </c>
      <c r="B1927" s="1" t="n">
        <v>45753</v>
      </c>
      <c r="C1927" s="1" t="n">
        <v>45758</v>
      </c>
      <c r="D1927" t="inlineStr">
        <is>
          <t>KRONOBERGS LÄN</t>
        </is>
      </c>
      <c r="E1927" t="inlineStr">
        <is>
          <t>VÄXJÖ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16607-2025</t>
        </is>
      </c>
      <c r="B1928" s="1" t="n">
        <v>45753</v>
      </c>
      <c r="C1928" s="1" t="n">
        <v>45758</v>
      </c>
      <c r="D1928" t="inlineStr">
        <is>
          <t>KRONOBERGS LÄN</t>
        </is>
      </c>
      <c r="E1928" t="inlineStr">
        <is>
          <t>VÄXJÖ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16751-2025</t>
        </is>
      </c>
      <c r="B1929" s="1" t="n">
        <v>45754</v>
      </c>
      <c r="C1929" s="1" t="n">
        <v>45758</v>
      </c>
      <c r="D1929" t="inlineStr">
        <is>
          <t>KRONOBERGS LÄN</t>
        </is>
      </c>
      <c r="E1929" t="inlineStr">
        <is>
          <t>VÄXJÖ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16767-2025</t>
        </is>
      </c>
      <c r="B1930" s="1" t="n">
        <v>45754</v>
      </c>
      <c r="C1930" s="1" t="n">
        <v>45758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16756-2025</t>
        </is>
      </c>
      <c r="B1931" s="1" t="n">
        <v>45754</v>
      </c>
      <c r="C1931" s="1" t="n">
        <v>45758</v>
      </c>
      <c r="D1931" t="inlineStr">
        <is>
          <t>KRONOBERGS LÄN</t>
        </is>
      </c>
      <c r="E1931" t="inlineStr">
        <is>
          <t>VÄXJÖ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16781-2025</t>
        </is>
      </c>
      <c r="B1932" s="1" t="n">
        <v>45754</v>
      </c>
      <c r="C1932" s="1" t="n">
        <v>45758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16838-2025</t>
        </is>
      </c>
      <c r="B1933" s="1" t="n">
        <v>45754</v>
      </c>
      <c r="C1933" s="1" t="n">
        <v>45758</v>
      </c>
      <c r="D1933" t="inlineStr">
        <is>
          <t>KRONOBERGS LÄN</t>
        </is>
      </c>
      <c r="E1933" t="inlineStr">
        <is>
          <t>VÄXJÖ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16982-2025</t>
        </is>
      </c>
      <c r="B1934" s="1" t="n">
        <v>45755</v>
      </c>
      <c r="C1934" s="1" t="n">
        <v>45758</v>
      </c>
      <c r="D1934" t="inlineStr">
        <is>
          <t>KRONOBERGS LÄN</t>
        </is>
      </c>
      <c r="E1934" t="inlineStr">
        <is>
          <t>VÄXJÖ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17470-2025</t>
        </is>
      </c>
      <c r="B1935" s="1" t="n">
        <v>45757</v>
      </c>
      <c r="C1935" s="1" t="n">
        <v>45758</v>
      </c>
      <c r="D1935" t="inlineStr">
        <is>
          <t>KRONOBERGS LÄN</t>
        </is>
      </c>
      <c r="E1935" t="inlineStr">
        <is>
          <t>VÄXJÖ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>
      <c r="A1936" t="inlineStr">
        <is>
          <t>A 17477-2025</t>
        </is>
      </c>
      <c r="B1936" s="1" t="n">
        <v>45757</v>
      </c>
      <c r="C1936" s="1" t="n">
        <v>45758</v>
      </c>
      <c r="D1936" t="inlineStr">
        <is>
          <t>KRONOBERGS LÄN</t>
        </is>
      </c>
      <c r="E1936" t="inlineStr">
        <is>
          <t>VÄXJÖ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2025-04-11T16:41:26Z</dcterms:created>
  <dcterms:modified xmlns:dcterms="http://purl.org/dc/terms/" xmlns:xsi="http://www.w3.org/2001/XMLSchema-instance" xsi:type="dcterms:W3CDTF">2025-04-11T16:41:28Z</dcterms:modified>
</cp:coreProperties>
</file>