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45827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45827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45827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45827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45827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45827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45827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45827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45827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45827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45827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45827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45827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45827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45827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45827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45827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45827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45827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45827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45827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45827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45827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45827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45827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45827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45827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45827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45827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45827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45827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45827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45827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45827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45827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45827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45827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45827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45827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45827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45827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45827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45827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45827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45827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45827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45827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45827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45827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45827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45827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45827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45827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45827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45827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45827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45827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45827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45827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45827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29290-2025</t>
        </is>
      </c>
      <c r="B62" s="1" t="n">
        <v>45824</v>
      </c>
      <c r="C62" s="1" t="n">
        <v>45827</v>
      </c>
      <c r="D62" t="inlineStr">
        <is>
          <t>KRONOBERGS LÄN</t>
        </is>
      </c>
      <c r="E62" t="inlineStr">
        <is>
          <t>VÄXJÖ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HYPERLINK("https://klasma.github.io/Logging_070780/artfynd/A 29290-2025 artfynd.xlsx", "A 29290-2025")</f>
        <v/>
      </c>
      <c r="T62">
        <f>HYPERLINK("https://klasma.github.io/Logging_070780/kartor/A 29290-2025 karta.png", "A 29290-2025")</f>
        <v/>
      </c>
      <c r="V62">
        <f>HYPERLINK("https://klasma.github.io/Logging_070780/klagomål/A 29290-2025 FSC-klagomål.docx", "A 29290-2025")</f>
        <v/>
      </c>
      <c r="W62">
        <f>HYPERLINK("https://klasma.github.io/Logging_070780/klagomålsmail/A 29290-2025 FSC-klagomål mail.docx", "A 29290-2025")</f>
        <v/>
      </c>
      <c r="X62">
        <f>HYPERLINK("https://klasma.github.io/Logging_070780/tillsyn/A 29290-2025 tillsynsbegäran.docx", "A 29290-2025")</f>
        <v/>
      </c>
      <c r="Y62">
        <f>HYPERLINK("https://klasma.github.io/Logging_070780/tillsynsmail/A 29290-2025 tillsynsbegäran mail.docx", "A 29290-2025")</f>
        <v/>
      </c>
    </row>
    <row r="63" ht="15" customHeight="1">
      <c r="A63" t="inlineStr">
        <is>
          <t>A 17746-2019</t>
        </is>
      </c>
      <c r="B63" s="1" t="n">
        <v>43556</v>
      </c>
      <c r="C63" s="1" t="n">
        <v>45827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18007-2019</t>
        </is>
      </c>
      <c r="B64" s="1" t="n">
        <v>43557</v>
      </c>
      <c r="C64" s="1" t="n">
        <v>45827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18263-2019</t>
        </is>
      </c>
      <c r="B65" s="1" t="n">
        <v>43558</v>
      </c>
      <c r="C65" s="1" t="n">
        <v>45827</v>
      </c>
      <c r="D65" t="inlineStr">
        <is>
          <t>KRONOBERGS LÄN</t>
        </is>
      </c>
      <c r="E65" t="inlineStr">
        <is>
          <t>VÄXJÖ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19509-2019</t>
        </is>
      </c>
      <c r="B66" s="1" t="n">
        <v>43565</v>
      </c>
      <c r="C66" s="1" t="n">
        <v>45827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19506-2019</t>
        </is>
      </c>
      <c r="B67" s="1" t="n">
        <v>43565</v>
      </c>
      <c r="C67" s="1" t="n">
        <v>45827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19687-2019</t>
        </is>
      </c>
      <c r="B68" s="1" t="n">
        <v>43566</v>
      </c>
      <c r="C68" s="1" t="n">
        <v>45827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20598-2019</t>
        </is>
      </c>
      <c r="B69" s="1" t="n">
        <v>43572</v>
      </c>
      <c r="C69" s="1" t="n">
        <v>45827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20944-2019</t>
        </is>
      </c>
      <c r="B70" s="1" t="n">
        <v>43578</v>
      </c>
      <c r="C70" s="1" t="n">
        <v>45827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20938-2019</t>
        </is>
      </c>
      <c r="B71" s="1" t="n">
        <v>43578</v>
      </c>
      <c r="C71" s="1" t="n">
        <v>45827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20988-2019</t>
        </is>
      </c>
      <c r="B72" s="1" t="n">
        <v>43578</v>
      </c>
      <c r="C72" s="1" t="n">
        <v>45827</v>
      </c>
      <c r="D72" t="inlineStr">
        <is>
          <t>KRONOBERGS LÄN</t>
        </is>
      </c>
      <c r="E72" t="inlineStr">
        <is>
          <t>VÄXJÖ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21076-2019</t>
        </is>
      </c>
      <c r="B73" s="1" t="n">
        <v>43578</v>
      </c>
      <c r="C73" s="1" t="n">
        <v>45827</v>
      </c>
      <c r="D73" t="inlineStr">
        <is>
          <t>KRONOBERGS LÄN</t>
        </is>
      </c>
      <c r="E73" t="inlineStr">
        <is>
          <t>VÄXJÖ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21712-2019</t>
        </is>
      </c>
      <c r="B74" s="1" t="n">
        <v>43581</v>
      </c>
      <c r="C74" s="1" t="n">
        <v>45827</v>
      </c>
      <c r="D74" t="inlineStr">
        <is>
          <t>KRONOBERGS LÄN</t>
        </is>
      </c>
      <c r="E74" t="inlineStr">
        <is>
          <t>VÄXJÖ</t>
        </is>
      </c>
      <c r="F74" t="inlineStr">
        <is>
          <t>Kyrkan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21665-2019</t>
        </is>
      </c>
      <c r="B75" s="1" t="n">
        <v>43581</v>
      </c>
      <c r="C75" s="1" t="n">
        <v>45827</v>
      </c>
      <c r="D75" t="inlineStr">
        <is>
          <t>KRONOBERGS LÄN</t>
        </is>
      </c>
      <c r="E75" t="inlineStr">
        <is>
          <t>VÄXJÖ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22084-2019</t>
        </is>
      </c>
      <c r="B76" s="1" t="n">
        <v>43584</v>
      </c>
      <c r="C76" s="1" t="n">
        <v>45827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22163-2019</t>
        </is>
      </c>
      <c r="B77" s="1" t="n">
        <v>43585</v>
      </c>
      <c r="C77" s="1" t="n">
        <v>45827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22395-2019</t>
        </is>
      </c>
      <c r="B78" s="1" t="n">
        <v>43585</v>
      </c>
      <c r="C78" s="1" t="n">
        <v>45827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22381-2019</t>
        </is>
      </c>
      <c r="B79" s="1" t="n">
        <v>43585</v>
      </c>
      <c r="C79" s="1" t="n">
        <v>45827</v>
      </c>
      <c r="D79" t="inlineStr">
        <is>
          <t>KRONOBERGS LÄN</t>
        </is>
      </c>
      <c r="E79" t="inlineStr">
        <is>
          <t>VÄXJÖ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22397-2019</t>
        </is>
      </c>
      <c r="B80" s="1" t="n">
        <v>43585</v>
      </c>
      <c r="C80" s="1" t="n">
        <v>45827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22346-2019</t>
        </is>
      </c>
      <c r="B81" s="1" t="n">
        <v>43587</v>
      </c>
      <c r="C81" s="1" t="n">
        <v>45827</v>
      </c>
      <c r="D81" t="inlineStr">
        <is>
          <t>KRONOBERGS LÄN</t>
        </is>
      </c>
      <c r="E81" t="inlineStr">
        <is>
          <t>VÄXJÖ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22349-2019</t>
        </is>
      </c>
      <c r="B82" s="1" t="n">
        <v>43587</v>
      </c>
      <c r="C82" s="1" t="n">
        <v>45827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22948-2019</t>
        </is>
      </c>
      <c r="B83" s="1" t="n">
        <v>43591</v>
      </c>
      <c r="C83" s="1" t="n">
        <v>45827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23252-2019</t>
        </is>
      </c>
      <c r="B84" s="1" t="n">
        <v>43592</v>
      </c>
      <c r="C84" s="1" t="n">
        <v>45827</v>
      </c>
      <c r="D84" t="inlineStr">
        <is>
          <t>KRONOBERGS LÄN</t>
        </is>
      </c>
      <c r="E84" t="inlineStr">
        <is>
          <t>VÄXJÖ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23375-2019</t>
        </is>
      </c>
      <c r="B85" s="1" t="n">
        <v>43593</v>
      </c>
      <c r="C85" s="1" t="n">
        <v>45827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23525-2019</t>
        </is>
      </c>
      <c r="B86" s="1" t="n">
        <v>43594</v>
      </c>
      <c r="C86" s="1" t="n">
        <v>45827</v>
      </c>
      <c r="D86" t="inlineStr">
        <is>
          <t>KRONOBERGS LÄN</t>
        </is>
      </c>
      <c r="E86" t="inlineStr">
        <is>
          <t>VÄXJÖ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23776-2019</t>
        </is>
      </c>
      <c r="B87" s="1" t="n">
        <v>43595</v>
      </c>
      <c r="C87" s="1" t="n">
        <v>45827</v>
      </c>
      <c r="D87" t="inlineStr">
        <is>
          <t>KRONOBERGS LÄN</t>
        </is>
      </c>
      <c r="E87" t="inlineStr">
        <is>
          <t>VÄXJÖ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23882-2019</t>
        </is>
      </c>
      <c r="B88" s="1" t="n">
        <v>43595</v>
      </c>
      <c r="C88" s="1" t="n">
        <v>45827</v>
      </c>
      <c r="D88" t="inlineStr">
        <is>
          <t>KRONOBERGS LÄN</t>
        </is>
      </c>
      <c r="E88" t="inlineStr">
        <is>
          <t>VÄXJÖ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23983-2019</t>
        </is>
      </c>
      <c r="B89" s="1" t="n">
        <v>43598</v>
      </c>
      <c r="C89" s="1" t="n">
        <v>45827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24055-2019</t>
        </is>
      </c>
      <c r="B90" s="1" t="n">
        <v>43598</v>
      </c>
      <c r="C90" s="1" t="n">
        <v>45827</v>
      </c>
      <c r="D90" t="inlineStr">
        <is>
          <t>KRONOBERGS LÄN</t>
        </is>
      </c>
      <c r="E90" t="inlineStr">
        <is>
          <t>VÄXJÖ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24748-2019</t>
        </is>
      </c>
      <c r="B91" s="1" t="n">
        <v>43601</v>
      </c>
      <c r="C91" s="1" t="n">
        <v>45827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25843-2019</t>
        </is>
      </c>
      <c r="B92" s="1" t="n">
        <v>43605</v>
      </c>
      <c r="C92" s="1" t="n">
        <v>45827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26478-2019</t>
        </is>
      </c>
      <c r="B93" s="1" t="n">
        <v>43607</v>
      </c>
      <c r="C93" s="1" t="n">
        <v>45827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26466-2019</t>
        </is>
      </c>
      <c r="B94" s="1" t="n">
        <v>43607</v>
      </c>
      <c r="C94" s="1" t="n">
        <v>45827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26494-2019</t>
        </is>
      </c>
      <c r="B95" s="1" t="n">
        <v>43607</v>
      </c>
      <c r="C95" s="1" t="n">
        <v>45827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25735-2019</t>
        </is>
      </c>
      <c r="B96" s="1" t="n">
        <v>43608</v>
      </c>
      <c r="C96" s="1" t="n">
        <v>45827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27614-2019</t>
        </is>
      </c>
      <c r="B97" s="1" t="n">
        <v>43619</v>
      </c>
      <c r="C97" s="1" t="n">
        <v>45827</v>
      </c>
      <c r="D97" t="inlineStr">
        <is>
          <t>KRONOBERGS LÄN</t>
        </is>
      </c>
      <c r="E97" t="inlineStr">
        <is>
          <t>VÄXJÖ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27704-2019</t>
        </is>
      </c>
      <c r="B98" s="1" t="n">
        <v>43619</v>
      </c>
      <c r="C98" s="1" t="n">
        <v>45827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27568-2019</t>
        </is>
      </c>
      <c r="B99" s="1" t="n">
        <v>43619</v>
      </c>
      <c r="C99" s="1" t="n">
        <v>45827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27919-2019</t>
        </is>
      </c>
      <c r="B100" s="1" t="n">
        <v>43620</v>
      </c>
      <c r="C100" s="1" t="n">
        <v>45827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27913-2019</t>
        </is>
      </c>
      <c r="B101" s="1" t="n">
        <v>43620</v>
      </c>
      <c r="C101" s="1" t="n">
        <v>45827</v>
      </c>
      <c r="D101" t="inlineStr">
        <is>
          <t>KRONOBERGS LÄN</t>
        </is>
      </c>
      <c r="E101" t="inlineStr">
        <is>
          <t>VÄXJÖ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27936-2019</t>
        </is>
      </c>
      <c r="B102" s="1" t="n">
        <v>43620</v>
      </c>
      <c r="C102" s="1" t="n">
        <v>45827</v>
      </c>
      <c r="D102" t="inlineStr">
        <is>
          <t>KRONOBERGS LÄN</t>
        </is>
      </c>
      <c r="E102" t="inlineStr">
        <is>
          <t>VÄXJÖ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27940-2019</t>
        </is>
      </c>
      <c r="B103" s="1" t="n">
        <v>43620</v>
      </c>
      <c r="C103" s="1" t="n">
        <v>45827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28556-2019</t>
        </is>
      </c>
      <c r="B104" s="1" t="n">
        <v>43626</v>
      </c>
      <c r="C104" s="1" t="n">
        <v>45827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28728-2019</t>
        </is>
      </c>
      <c r="B105" s="1" t="n">
        <v>43627</v>
      </c>
      <c r="C105" s="1" t="n">
        <v>45827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29353-2019</t>
        </is>
      </c>
      <c r="B106" s="1" t="n">
        <v>43629</v>
      </c>
      <c r="C106" s="1" t="n">
        <v>45827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30642-2019</t>
        </is>
      </c>
      <c r="B107" s="1" t="n">
        <v>43636</v>
      </c>
      <c r="C107" s="1" t="n">
        <v>45827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31003-2019</t>
        </is>
      </c>
      <c r="B108" s="1" t="n">
        <v>43640</v>
      </c>
      <c r="C108" s="1" t="n">
        <v>45827</v>
      </c>
      <c r="D108" t="inlineStr">
        <is>
          <t>KRONOBERGS LÄN</t>
        </is>
      </c>
      <c r="E108" t="inlineStr">
        <is>
          <t>VÄXJÖ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31484-2019</t>
        </is>
      </c>
      <c r="B109" s="1" t="n">
        <v>43641</v>
      </c>
      <c r="C109" s="1" t="n">
        <v>45827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31339-2019</t>
        </is>
      </c>
      <c r="B110" s="1" t="n">
        <v>43641</v>
      </c>
      <c r="C110" s="1" t="n">
        <v>45827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31550-2019</t>
        </is>
      </c>
      <c r="B111" s="1" t="n">
        <v>43641</v>
      </c>
      <c r="C111" s="1" t="n">
        <v>45827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31505-2019</t>
        </is>
      </c>
      <c r="B112" s="1" t="n">
        <v>43641</v>
      </c>
      <c r="C112" s="1" t="n">
        <v>45827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31797-2019</t>
        </is>
      </c>
      <c r="B113" s="1" t="n">
        <v>43642</v>
      </c>
      <c r="C113" s="1" t="n">
        <v>45827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31799-2019</t>
        </is>
      </c>
      <c r="B114" s="1" t="n">
        <v>43642</v>
      </c>
      <c r="C114" s="1" t="n">
        <v>45827</v>
      </c>
      <c r="D114" t="inlineStr">
        <is>
          <t>KRONOBERGS LÄN</t>
        </is>
      </c>
      <c r="E114" t="inlineStr">
        <is>
          <t>VÄXJÖ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31946-2019</t>
        </is>
      </c>
      <c r="B115" s="1" t="n">
        <v>43643</v>
      </c>
      <c r="C115" s="1" t="n">
        <v>45827</v>
      </c>
      <c r="D115" t="inlineStr">
        <is>
          <t>KRONOBERGS LÄN</t>
        </is>
      </c>
      <c r="E115" t="inlineStr">
        <is>
          <t>VÄXJÖ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31999-2019</t>
        </is>
      </c>
      <c r="B116" s="1" t="n">
        <v>43643</v>
      </c>
      <c r="C116" s="1" t="n">
        <v>45827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31928-2019</t>
        </is>
      </c>
      <c r="B117" s="1" t="n">
        <v>43643</v>
      </c>
      <c r="C117" s="1" t="n">
        <v>45827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31943-2019</t>
        </is>
      </c>
      <c r="B118" s="1" t="n">
        <v>43643</v>
      </c>
      <c r="C118" s="1" t="n">
        <v>45827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32063-2019</t>
        </is>
      </c>
      <c r="B119" s="1" t="n">
        <v>43643</v>
      </c>
      <c r="C119" s="1" t="n">
        <v>45827</v>
      </c>
      <c r="D119" t="inlineStr">
        <is>
          <t>KRONOBERGS LÄN</t>
        </is>
      </c>
      <c r="E119" t="inlineStr">
        <is>
          <t>VÄXJÖ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32518-2019</t>
        </is>
      </c>
      <c r="B120" s="1" t="n">
        <v>43646</v>
      </c>
      <c r="C120" s="1" t="n">
        <v>45827</v>
      </c>
      <c r="D120" t="inlineStr">
        <is>
          <t>KRONOBERGS LÄN</t>
        </is>
      </c>
      <c r="E120" t="inlineStr">
        <is>
          <t>VÄXJÖ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32598-2019</t>
        </is>
      </c>
      <c r="B121" s="1" t="n">
        <v>43647</v>
      </c>
      <c r="C121" s="1" t="n">
        <v>45827</v>
      </c>
      <c r="D121" t="inlineStr">
        <is>
          <t>KRONOBERGS LÄN</t>
        </is>
      </c>
      <c r="E121" t="inlineStr">
        <is>
          <t>VÄXJÖ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32605-2019</t>
        </is>
      </c>
      <c r="B122" s="1" t="n">
        <v>43647</v>
      </c>
      <c r="C122" s="1" t="n">
        <v>45827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33152-2019</t>
        </is>
      </c>
      <c r="B123" s="1" t="n">
        <v>43649</v>
      </c>
      <c r="C123" s="1" t="n">
        <v>45827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33139-2019</t>
        </is>
      </c>
      <c r="B124" s="1" t="n">
        <v>43649</v>
      </c>
      <c r="C124" s="1" t="n">
        <v>45827</v>
      </c>
      <c r="D124" t="inlineStr">
        <is>
          <t>KRONOBERGS LÄN</t>
        </is>
      </c>
      <c r="E124" t="inlineStr">
        <is>
          <t>VÄXJÖ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33022-2019</t>
        </is>
      </c>
      <c r="B125" s="1" t="n">
        <v>43649</v>
      </c>
      <c r="C125" s="1" t="n">
        <v>45827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33286-2019</t>
        </is>
      </c>
      <c r="B126" s="1" t="n">
        <v>43650</v>
      </c>
      <c r="C126" s="1" t="n">
        <v>45827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33487-2019</t>
        </is>
      </c>
      <c r="B127" s="1" t="n">
        <v>43651</v>
      </c>
      <c r="C127" s="1" t="n">
        <v>45827</v>
      </c>
      <c r="D127" t="inlineStr">
        <is>
          <t>KRONOBERGS LÄN</t>
        </is>
      </c>
      <c r="E127" t="inlineStr">
        <is>
          <t>VÄXJÖ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33896-2019</t>
        </is>
      </c>
      <c r="B128" s="1" t="n">
        <v>43653</v>
      </c>
      <c r="C128" s="1" t="n">
        <v>45827</v>
      </c>
      <c r="D128" t="inlineStr">
        <is>
          <t>KRONOBERGS LÄN</t>
        </is>
      </c>
      <c r="E128" t="inlineStr">
        <is>
          <t>VÄXJÖ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33897-2019</t>
        </is>
      </c>
      <c r="B129" s="1" t="n">
        <v>43653</v>
      </c>
      <c r="C129" s="1" t="n">
        <v>45827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33970-2019</t>
        </is>
      </c>
      <c r="B130" s="1" t="n">
        <v>43654</v>
      </c>
      <c r="C130" s="1" t="n">
        <v>45827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34200-2019</t>
        </is>
      </c>
      <c r="B131" s="1" t="n">
        <v>43655</v>
      </c>
      <c r="C131" s="1" t="n">
        <v>45827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35640-2019</t>
        </is>
      </c>
      <c r="B132" s="1" t="n">
        <v>43655</v>
      </c>
      <c r="C132" s="1" t="n">
        <v>45827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35305-2019</t>
        </is>
      </c>
      <c r="B133" s="1" t="n">
        <v>43662</v>
      </c>
      <c r="C133" s="1" t="n">
        <v>45827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35476-2019</t>
        </is>
      </c>
      <c r="B134" s="1" t="n">
        <v>43663</v>
      </c>
      <c r="C134" s="1" t="n">
        <v>45827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35473-2019</t>
        </is>
      </c>
      <c r="B135" s="1" t="n">
        <v>43663</v>
      </c>
      <c r="C135" s="1" t="n">
        <v>45827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36264-2019</t>
        </is>
      </c>
      <c r="B136" s="1" t="n">
        <v>43669</v>
      </c>
      <c r="C136" s="1" t="n">
        <v>45827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45827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45827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45827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45827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45827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45827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45827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45827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45827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45827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45827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45827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45827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45827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45827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45827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45827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45827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45827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45827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45827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45827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45827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45827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45827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45827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45827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45827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45827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45827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45827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45827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45827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45827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45827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45827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45827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45827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45827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45827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45827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45827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45827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45827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45827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45827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45827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45827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45827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45827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45827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45827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45827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45827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45827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45827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45827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45827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45827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45827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45827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45827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45827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45827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45827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45827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45827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45827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45827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45827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45827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45827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45827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45827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45827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45827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45827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45827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45827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45827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45827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45827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45827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45827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45827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45827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45827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45827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45827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45827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45827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45827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45827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45827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45827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45827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45827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45827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45827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45827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45827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45827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45827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45827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45827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45827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45827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45827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45827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45827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45827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45827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45827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45827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45827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45827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45827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45827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45827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45827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45827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45827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45827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45827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45827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45827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45827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45827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45827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45827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45827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45827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45827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45827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45827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45827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45827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45827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45827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45827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45827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45827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45827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45827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45827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45827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45827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45827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45827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45827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45827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45827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45827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45827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45827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45827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45827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45827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45827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45827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45827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45827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45827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45827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45827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45827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45827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45827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45827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45827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45827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45827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45827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45827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45827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45827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45827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45827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45827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45827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45827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45827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45827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45827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45827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45827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45827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45827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45827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45827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45827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45827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45827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45827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45827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45827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45827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45827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45827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45827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45827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45827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45827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45827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45827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45827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45827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45827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45827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45827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45827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45827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45827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45827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45827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45827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45827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45827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45827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45827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45827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45827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45827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45827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45827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45827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45827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45827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45827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45827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45827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45827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45827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45827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45827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45827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45827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45827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45827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45827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45827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45827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45827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45827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45827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45827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45827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45827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45827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45827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45827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45827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45827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45827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45827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45827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45827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45827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45827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45827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45827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45827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45827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45827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45827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45827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45827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45827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45827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45827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45827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45827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45827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45827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45827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45827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45827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45827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45827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45827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45827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45827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45827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45827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45827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45827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45827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45827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45827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45827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45827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45827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45827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45827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45827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45827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45827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45827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45827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45827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45827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45827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45827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45827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45827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45827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45827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45827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45827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45827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45827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45827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45827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45827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45827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45827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45827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45827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45827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45827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45827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45827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45827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45827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45827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45827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45827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45827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45827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45827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45827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45827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45827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45827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45827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45827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45827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45827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45827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45827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45827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45827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45827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45827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45827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45827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45827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45827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45827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45827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45827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45827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45827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45827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45827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45827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45827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45827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45827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45827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45827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45827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45827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45827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45827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45827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45827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45827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45827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45827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45827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45827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45827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45827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45827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45827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45827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45827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45827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45827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45827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45827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45827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45827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45827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45827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45827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45827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45827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45827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45827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45827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45827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45827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45827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45827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45827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45827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45827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45827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45827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45827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45827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45827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45827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45827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45827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45827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45827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45827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45827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45827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45827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45827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45827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45827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45827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45827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45827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45827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45827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45827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45827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45827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45827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45827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45827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45827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45827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45827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45827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45827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45827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45827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45827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45827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45827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45827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45827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45827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45827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45827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45827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45827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45827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45827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45827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45827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45827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45827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45827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45827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45827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45827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45827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45827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45827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45827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45827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45827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45827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45827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45827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45827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45827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45827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45827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45827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45827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45827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45827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45827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45827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45827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45827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45827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45827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45827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45827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45827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45827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45827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45827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45827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45827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45827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45827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45827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45827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45827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45827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45827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45827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45827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45827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45827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45827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45827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45827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45827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45827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45827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45827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45827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45827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45827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45827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45827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45827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45827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45827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45827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45827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45827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45827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45827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45827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45827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45827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45827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45827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45827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45827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45827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45827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45827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45827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45827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45827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45827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45827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45827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45827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45827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45827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45827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45827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45827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45827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45827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45827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45827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45827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45827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45827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45827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45827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45827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45827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45827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45827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45827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45827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45827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45827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45827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45827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45827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45827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45827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45827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45827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45827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45827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45827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45827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45827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45827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45827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45827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45827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45827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45827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45827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45827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45827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45827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45827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45827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45827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45827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45827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45827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45827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45827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45827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45827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45827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45827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45827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45827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45827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45827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45827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45827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45827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45827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45827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45827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45827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45827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45827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45827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45827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45827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45827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45827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45827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45827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45827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45827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45827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45827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45827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45827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45827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45827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45827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45827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45827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45827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45827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45827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45827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45827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45827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45827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45827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45827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45827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45827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45827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45827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45827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45827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45827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45827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45827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45827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45827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45827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45827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45827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45827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45827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45827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45827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45827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45827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45827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45827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45827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45827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45827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45827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45827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45827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45827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45827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45827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45827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45827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45827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45827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45827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45827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45827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45827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45827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45827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45827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45827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45827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45827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45827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45827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45827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45827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45827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45827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45827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45827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45827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45827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45827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45827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45827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45827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45827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45827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45827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45827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45827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45827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45827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45827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45827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45827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45827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45827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45827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45827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45827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45827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45827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45827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45827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45827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45827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45827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45827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45827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45827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45827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45827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45827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45827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45827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45827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45827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45827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45827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45827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45827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45827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45827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45827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45827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45827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45827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45827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45827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45827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45827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45827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45827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45827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45827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45827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45827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45827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45827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45827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45827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45827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45827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45827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45827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45827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45827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45827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45827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45827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45827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45827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45827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45827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45827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45827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45827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45827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45827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45827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45827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45827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45827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45827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45827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45827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45827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45827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45827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45827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45827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45827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45827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45827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45827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45827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45827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45827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45827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45827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45827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45827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45827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45827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45827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45827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45827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45827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45827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45827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45827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45827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45827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45827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45827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45827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45827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45827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45827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45827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45827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45827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45827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45827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45827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45827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45827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45827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45827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45827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45827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45827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45827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45827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45827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45827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45827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45827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45827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45827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45827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45827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45827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45827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45827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45827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45827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45827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45827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45827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45827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45827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45827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45827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45827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45827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45827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45827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45827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45827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45827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45827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45827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45827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45827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45827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45827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45827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45827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45827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45827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45827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45827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45827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45827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45827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45827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45827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45827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45827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45827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45827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45827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45827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45827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45827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45827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45827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45827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45827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45827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45827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45827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45827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45827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45827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45827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45827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45827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45827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45827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45827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45827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45827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45827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45827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45827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45827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45827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45827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45827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45827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45827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45827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45827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45827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45827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45827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45827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45827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45827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45827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45827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45827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45827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45827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45827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45827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45827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45827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45827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45827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45827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45827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45827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45827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45827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45827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45827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45827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45827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45827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45827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45827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45827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45827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45827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45827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45827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45827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45827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45827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45827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45827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45827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45827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45827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45827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45827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45827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45827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45827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45827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45827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45827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45827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45827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45827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45827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45827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45827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45827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45827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45827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45827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45827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45827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45827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45827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45827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45827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45827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45827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45827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45827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45827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45827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45827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45827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45827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45827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45827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45827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45827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45827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45827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45827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45827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45827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45827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45827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45827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45827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45827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45827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45827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45827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45827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45827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45827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45827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45827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45827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45827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45827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45827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45827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45827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45827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45827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45827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45827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45827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45827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45827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45827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45827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45827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45827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45827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45827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45827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45827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45827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45827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45827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45827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45827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45827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45827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45827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45827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45827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45827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45827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45827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45827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45827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45827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45827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45827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45827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45827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45827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45827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45827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45827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45827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45827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45827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45827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45827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45827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45827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45827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45827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45827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45827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45827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45827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45827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45827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45827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45827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45827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45827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45827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45827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45827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45827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45827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45827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45827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45827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45827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45827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45827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45827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45827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45827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45827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45827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45827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45827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45827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45827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45827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45827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45827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45827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45827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45827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45827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45827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45827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45827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45827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45827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45827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45827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45827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45827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45827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45827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45827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45827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45827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45827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45827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45827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45827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45827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45827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45827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45827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45827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45827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45827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45827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45827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45827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45827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45827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45827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45827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45827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45827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45827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45827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45827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45827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45827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45827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45827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45827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45827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45827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45827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45827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45827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45827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45827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45827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45827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45827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45827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45827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45827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45827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45827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45827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45827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45827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45827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45827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45827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45827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45827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45827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45827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45827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45827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45827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45827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45827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45827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45827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45827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45827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45827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45827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45827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45827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45827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45827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45827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45827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45827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45827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45827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45827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45827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45827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45827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45827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45827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45827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45827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45827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45827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45827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45827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45827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45827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45827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45827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45827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45827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45827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45827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45827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45827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45827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45827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45827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45827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45827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45827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45827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45827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45827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45827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45827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45827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45827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45827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45827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45827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45827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45827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45827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45827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45827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45827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45827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45827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45827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45827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45827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45827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45827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45827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45827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45827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45827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45827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45827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45827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45827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45827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45827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45827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45827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45827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45827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45827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45827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45827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45827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45827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45827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45827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45827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45827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45827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45827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45827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45827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45827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45827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45827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45827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45827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45827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45827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45827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45827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45827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45827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45827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45827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45827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45827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45827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45827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45827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45827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45827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45827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45827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45827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45827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45827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45827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45827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45827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45827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45827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45827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45827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45827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45827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45827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45827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45827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45827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45827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45827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45827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45827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45827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45827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45827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45827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45827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45827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45827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45827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45827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45827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45827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45827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45827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45827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45827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45827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45827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45827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45827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45827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45827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45827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45827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45827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45827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45827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45827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45827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45827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45827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45827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45827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45827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45827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45827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45827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45827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45827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45827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45827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45827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45827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45827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45827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45827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45827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45827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45827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45827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45827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45827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45827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45827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45827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45827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45827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45827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45827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45827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45827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45827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45827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45827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45827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45827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45827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45827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45827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45827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45827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45827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45827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45827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45827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45827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45827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45827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45827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45827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45827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45827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45827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45827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45827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45827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45827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45827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45827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45827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45827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45827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45827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45827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45827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45827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45827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45827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45827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45827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45827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45827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45827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45827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45827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45827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45827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45827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45827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45827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45827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45827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45827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45827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45827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45827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45827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45827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45827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45827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45827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45827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45827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45827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45827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45827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45827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45827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45827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45827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45827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45827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45827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45827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45827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45827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45827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45827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45827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45827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45827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45827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45827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45827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45827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45827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45827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45827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45827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45827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45827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45827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45827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45827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45827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45827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45827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45827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45827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45827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45827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45827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45827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45827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45827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45827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45827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45827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45827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45827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45827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45827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45827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45827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45827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45827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45827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45827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45827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45827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45827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45827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45827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45827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45827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45827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45827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45827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45827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45827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45827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45827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45827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45827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45827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45827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45827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45827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45827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45827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45827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45827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45827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45827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45827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45827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45827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45827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45827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45827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45827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45827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45827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45827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45827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45827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45827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45827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45827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45827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45827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45827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45827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45827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45827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45827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45827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45827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45827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45827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45827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45827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45827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45827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45827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45827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45827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45827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45827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45827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45827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45827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45827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45827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45827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45827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45827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45827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45827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45827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45827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45827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45827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45827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45827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45827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45827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45827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45827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45827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45827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45827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45827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45827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45827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45827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45827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45827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45827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45827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45827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45827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45827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45827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45827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45827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45827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45827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45827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45827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45827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45827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45827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45827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45827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45827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45827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45827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45827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45827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45827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45827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45827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45827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45827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45827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45827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45827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45827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45827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45827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45827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45827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45827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45827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45827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45827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45827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45827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45827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45827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45827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45827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45827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45827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45827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45827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45827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45827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45827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45827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45827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45827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45827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45827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45827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45827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45827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45827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45827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45827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45827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45827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45827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45827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45827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45827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45827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45827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45827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45827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45827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45827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45827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45827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45827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45827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45827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45827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45827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45827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45827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45827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45827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45827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45827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45827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45827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45827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45827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45827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45827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45827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45827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45827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45827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45827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45827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45827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45827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45827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45827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45827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45827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45827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45827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45827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45827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45827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45827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45827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45827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45827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45827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45827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45827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45827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45827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45827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45827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45827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45827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45827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45827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45827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45827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45827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45827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45827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45827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45827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45827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45827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45827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45827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45827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45827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45827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45827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45827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45827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45827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45827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45827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45827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45827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45827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45827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45827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45827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45827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45827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45827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45827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45827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45827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45827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45827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45827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45827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45827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45827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45827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45827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45827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45827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45827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45827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45827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45827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45827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45827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45827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45827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45827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45827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45827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45827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45827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45827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45827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45827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45827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45827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45827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45827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45827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45827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45827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45827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45827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45827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45827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45827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45827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45827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45827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45827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45827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45827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45827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45827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45827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45827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45827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45827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45827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45827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45827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45827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45827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45827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45827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45827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45827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45827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45827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45827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45827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45827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45827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45827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45827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45827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45827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45827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45827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45827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45827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45827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45827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45827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45827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45827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45827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45827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45827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45827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45827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45827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45827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45827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45827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45827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45827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45827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45827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45827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45827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45827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45827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45827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45827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45827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45827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45827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45827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45827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45827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45827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45827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45827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45827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45827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45827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45827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45827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45827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45827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45827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45827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45827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45827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45827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45827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45827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45827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45827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45827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45827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45827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45827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45827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45827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45827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45827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45827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45827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45827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45827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45827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45827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45827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45827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45827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45827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45827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45827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45827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45827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45827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45827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45827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45827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45827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45827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45827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25529-2025</t>
        </is>
      </c>
      <c r="B2006" s="1" t="n">
        <v>45803</v>
      </c>
      <c r="C2006" s="1" t="n">
        <v>45827</v>
      </c>
      <c r="D2006" t="inlineStr">
        <is>
          <t>KRONOBERGS LÄN</t>
        </is>
      </c>
      <c r="E2006" t="inlineStr">
        <is>
          <t>VÄXJÖ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25584-2025</t>
        </is>
      </c>
      <c r="B2007" s="1" t="n">
        <v>45803</v>
      </c>
      <c r="C2007" s="1" t="n">
        <v>45827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25528-2025</t>
        </is>
      </c>
      <c r="B2008" s="1" t="n">
        <v>45803</v>
      </c>
      <c r="C2008" s="1" t="n">
        <v>45827</v>
      </c>
      <c r="D2008" t="inlineStr">
        <is>
          <t>KRONOBERGS LÄN</t>
        </is>
      </c>
      <c r="E2008" t="inlineStr">
        <is>
          <t>VÄXJÖ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25530-2025</t>
        </is>
      </c>
      <c r="B2009" s="1" t="n">
        <v>45803</v>
      </c>
      <c r="C2009" s="1" t="n">
        <v>45827</v>
      </c>
      <c r="D2009" t="inlineStr">
        <is>
          <t>KRONOBERGS LÄN</t>
        </is>
      </c>
      <c r="E2009" t="inlineStr">
        <is>
          <t>VÄXJÖ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25592-2025</t>
        </is>
      </c>
      <c r="B2010" s="1" t="n">
        <v>45803</v>
      </c>
      <c r="C2010" s="1" t="n">
        <v>45827</v>
      </c>
      <c r="D2010" t="inlineStr">
        <is>
          <t>KRONOBERGS LÄN</t>
        </is>
      </c>
      <c r="E2010" t="inlineStr">
        <is>
          <t>VÄXJÖ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25593-2025</t>
        </is>
      </c>
      <c r="B2011" s="1" t="n">
        <v>45803</v>
      </c>
      <c r="C2011" s="1" t="n">
        <v>45827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25583-2025</t>
        </is>
      </c>
      <c r="B2012" s="1" t="n">
        <v>45803</v>
      </c>
      <c r="C2012" s="1" t="n">
        <v>45827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45827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45827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26798-2025</t>
        </is>
      </c>
      <c r="B2015" s="1" t="n">
        <v>45810</v>
      </c>
      <c r="C2015" s="1" t="n">
        <v>45827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26801-2025</t>
        </is>
      </c>
      <c r="B2016" s="1" t="n">
        <v>45810</v>
      </c>
      <c r="C2016" s="1" t="n">
        <v>45827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26762-2025</t>
        </is>
      </c>
      <c r="B2017" s="1" t="n">
        <v>45810</v>
      </c>
      <c r="C2017" s="1" t="n">
        <v>45827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45827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45827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45827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45827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45827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28081-2025</t>
        </is>
      </c>
      <c r="B2023" s="1" t="n">
        <v>45817</v>
      </c>
      <c r="C2023" s="1" t="n">
        <v>45827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28036-2025</t>
        </is>
      </c>
      <c r="B2024" s="1" t="n">
        <v>45817</v>
      </c>
      <c r="C2024" s="1" t="n">
        <v>45827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28174-2025</t>
        </is>
      </c>
      <c r="B2025" s="1" t="n">
        <v>45818</v>
      </c>
      <c r="C2025" s="1" t="n">
        <v>45827</v>
      </c>
      <c r="D2025" t="inlineStr">
        <is>
          <t>KRONOBERGS LÄN</t>
        </is>
      </c>
      <c r="E2025" t="inlineStr">
        <is>
          <t>VÄXJÖ</t>
        </is>
      </c>
      <c r="G2025" t="n">
        <v>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28171-2025</t>
        </is>
      </c>
      <c r="B2026" s="1" t="n">
        <v>45818</v>
      </c>
      <c r="C2026" s="1" t="n">
        <v>45827</v>
      </c>
      <c r="D2026" t="inlineStr">
        <is>
          <t>KRONOBERGS LÄN</t>
        </is>
      </c>
      <c r="E2026" t="inlineStr">
        <is>
          <t>VÄXJÖ</t>
        </is>
      </c>
      <c r="G2026" t="n">
        <v>19.3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28165-2025</t>
        </is>
      </c>
      <c r="B2027" s="1" t="n">
        <v>45818</v>
      </c>
      <c r="C2027" s="1" t="n">
        <v>45827</v>
      </c>
      <c r="D2027" t="inlineStr">
        <is>
          <t>KRONOBERGS LÄN</t>
        </is>
      </c>
      <c r="E2027" t="inlineStr">
        <is>
          <t>VÄXJÖ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45827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28641-2025</t>
        </is>
      </c>
      <c r="B2029" s="1" t="n">
        <v>45819</v>
      </c>
      <c r="C2029" s="1" t="n">
        <v>45827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28642-2025</t>
        </is>
      </c>
      <c r="B2030" s="1" t="n">
        <v>45819</v>
      </c>
      <c r="C2030" s="1" t="n">
        <v>45827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45827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45827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45827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45827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45827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29582-2025</t>
        </is>
      </c>
      <c r="B2036" s="1" t="n">
        <v>45825</v>
      </c>
      <c r="C2036" s="1" t="n">
        <v>45827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>
      <c r="A2037" t="inlineStr">
        <is>
          <t>A 29799-2025</t>
        </is>
      </c>
      <c r="B2037" s="1" t="n">
        <v>45825</v>
      </c>
      <c r="C2037" s="1" t="n">
        <v>45827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2025-06-19T19:16:45Z</dcterms:created>
  <dcterms:modified xmlns:dcterms="http://purl.org/dc/terms/" xmlns:xsi="http://www.w3.org/2001/XMLSchema-instance" xsi:type="dcterms:W3CDTF">2025-06-19T19:16:46Z</dcterms:modified>
</cp:coreProperties>
</file>