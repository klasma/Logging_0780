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45789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45789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45789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45789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45789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45789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45789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45789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45789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45789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45789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45789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45789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45789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45789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45789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45789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45789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45789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45789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45789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45789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45789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45789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45789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45789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45789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45789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45789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45789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45789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6449-2021</t>
        </is>
      </c>
      <c r="B33" s="1" t="n">
        <v>44235</v>
      </c>
      <c r="C33" s="1" t="n">
        <v>45789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HYPERLINK("https://klasma.github.io/Logging_0780/artfynd/A 6449-2021 artfynd.xlsx", "A 6449-2021")</f>
        <v/>
      </c>
      <c r="T33">
        <f>HYPERLINK("https://klasma.github.io/Logging_0780/kartor/A 6449-2021 karta.png", "A 6449-2021")</f>
        <v/>
      </c>
      <c r="V33">
        <f>HYPERLINK("https://klasma.github.io/Logging_0780/klagomål/A 6449-2021 FSC-klagomål.docx", "A 6449-2021")</f>
        <v/>
      </c>
      <c r="W33">
        <f>HYPERLINK("https://klasma.github.io/Logging_0780/klagomålsmail/A 6449-2021 FSC-klagomål mail.docx", "A 6449-2021")</f>
        <v/>
      </c>
      <c r="X33">
        <f>HYPERLINK("https://klasma.github.io/Logging_0780/tillsyn/A 6449-2021 tillsynsbegäran.docx", "A 6449-2021")</f>
        <v/>
      </c>
      <c r="Y33">
        <f>HYPERLINK("https://klasma.github.io/Logging_0780/tillsynsmail/A 6449-2021 tillsynsbegäran mail.docx", "A 6449-2021")</f>
        <v/>
      </c>
      <c r="Z33">
        <f>HYPERLINK("https://klasma.github.io/Logging_0780/fåglar/A 6449-2021 prioriterade fågelarter.docx", "A 6449-2021")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45789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21191-2021</t>
        </is>
      </c>
      <c r="B35" s="1" t="n">
        <v>44320</v>
      </c>
      <c r="C35" s="1" t="n">
        <v>45789</v>
      </c>
      <c r="D35" t="inlineStr">
        <is>
          <t>KRONOBERGS LÄN</t>
        </is>
      </c>
      <c r="E35" t="inlineStr">
        <is>
          <t>VÄXJÖ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21191-2021 artfynd.xlsx", "A 21191-2021")</f>
        <v/>
      </c>
      <c r="T35">
        <f>HYPERLINK("https://klasma.github.io/Logging_0780/kartor/A 21191-2021 karta.png", "A 21191-2021")</f>
        <v/>
      </c>
      <c r="U35">
        <f>HYPERLINK("https://klasma.github.io/Logging_0780/knärot/A 21191-2021 karta knärot.png", "A 21191-2021")</f>
        <v/>
      </c>
      <c r="V35">
        <f>HYPERLINK("https://klasma.github.io/Logging_0780/klagomål/A 21191-2021 FSC-klagomål.docx", "A 21191-2021")</f>
        <v/>
      </c>
      <c r="W35">
        <f>HYPERLINK("https://klasma.github.io/Logging_0780/klagomålsmail/A 21191-2021 FSC-klagomål mail.docx", "A 21191-2021")</f>
        <v/>
      </c>
      <c r="X35">
        <f>HYPERLINK("https://klasma.github.io/Logging_0780/tillsyn/A 21191-2021 tillsynsbegäran.docx", "A 21191-2021")</f>
        <v/>
      </c>
      <c r="Y35">
        <f>HYPERLINK("https://klasma.github.io/Logging_0780/tillsynsmail/A 21191-2021 tillsynsbegäran mail.docx", "A 21191-2021")</f>
        <v/>
      </c>
    </row>
    <row r="36" ht="15" customHeight="1">
      <c r="A36" t="inlineStr">
        <is>
          <t>A 29179-2021</t>
        </is>
      </c>
      <c r="B36" s="1" t="n">
        <v>44358</v>
      </c>
      <c r="C36" s="1" t="n">
        <v>45789</v>
      </c>
      <c r="D36" t="inlineStr">
        <is>
          <t>KRONOBERGS LÄN</t>
        </is>
      </c>
      <c r="E36" t="inlineStr">
        <is>
          <t>VÄXJÖ</t>
        </is>
      </c>
      <c r="F36" t="inlineStr">
        <is>
          <t>Kyrkan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HYPERLINK("https://klasma.github.io/Logging_0780/artfynd/A 29179-2021 artfynd.xlsx", "A 29179-2021")</f>
        <v/>
      </c>
      <c r="T36">
        <f>HYPERLINK("https://klasma.github.io/Logging_0780/kartor/A 29179-2021 karta.png", "A 29179-2021")</f>
        <v/>
      </c>
      <c r="V36">
        <f>HYPERLINK("https://klasma.github.io/Logging_0780/klagomål/A 29179-2021 FSC-klagomål.docx", "A 29179-2021")</f>
        <v/>
      </c>
      <c r="W36">
        <f>HYPERLINK("https://klasma.github.io/Logging_0780/klagomålsmail/A 29179-2021 FSC-klagomål mail.docx", "A 29179-2021")</f>
        <v/>
      </c>
      <c r="X36">
        <f>HYPERLINK("https://klasma.github.io/Logging_0780/tillsyn/A 29179-2021 tillsynsbegäran.docx", "A 29179-2021")</f>
        <v/>
      </c>
      <c r="Y36">
        <f>HYPERLINK("https://klasma.github.io/Logging_0780/tillsynsmail/A 29179-2021 tillsynsbegäran mail.docx", "A 29179-2021")</f>
        <v/>
      </c>
      <c r="Z36">
        <f>HYPERLINK("https://klasma.github.io/Logging_0780/fåglar/A 29179-2021 prioriterade fågelarter.docx", "A 29179-2021")</f>
        <v/>
      </c>
    </row>
    <row r="37" ht="15" customHeight="1">
      <c r="A37" t="inlineStr">
        <is>
          <t>A 35815-2021</t>
        </is>
      </c>
      <c r="B37" s="1" t="n">
        <v>44386</v>
      </c>
      <c r="C37" s="1" t="n">
        <v>45789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35815-2021 artfynd.xlsx", "A 35815-2021")</f>
        <v/>
      </c>
      <c r="T37">
        <f>HYPERLINK("https://klasma.github.io/Logging_0780/kartor/A 35815-2021 karta.png", "A 35815-2021")</f>
        <v/>
      </c>
      <c r="V37">
        <f>HYPERLINK("https://klasma.github.io/Logging_0780/klagomål/A 35815-2021 FSC-klagomål.docx", "A 35815-2021")</f>
        <v/>
      </c>
      <c r="W37">
        <f>HYPERLINK("https://klasma.github.io/Logging_0780/klagomålsmail/A 35815-2021 FSC-klagomål mail.docx", "A 35815-2021")</f>
        <v/>
      </c>
      <c r="X37">
        <f>HYPERLINK("https://klasma.github.io/Logging_0780/tillsyn/A 35815-2021 tillsynsbegäran.docx", "A 35815-2021")</f>
        <v/>
      </c>
      <c r="Y37">
        <f>HYPERLINK("https://klasma.github.io/Logging_0780/tillsynsmail/A 35815-2021 tillsynsbegäran mail.docx", "A 35815-2021")</f>
        <v/>
      </c>
    </row>
    <row r="38" ht="15" customHeight="1">
      <c r="A38" t="inlineStr">
        <is>
          <t>A 43912-2021</t>
        </is>
      </c>
      <c r="B38" s="1" t="n">
        <v>44434</v>
      </c>
      <c r="C38" s="1" t="n">
        <v>45789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43912-2021 artfynd.xlsx", "A 43912-2021")</f>
        <v/>
      </c>
      <c r="T38">
        <f>HYPERLINK("https://klasma.github.io/Logging_0780/kartor/A 43912-2021 karta.png", "A 43912-2021")</f>
        <v/>
      </c>
      <c r="V38">
        <f>HYPERLINK("https://klasma.github.io/Logging_0780/klagomål/A 43912-2021 FSC-klagomål.docx", "A 43912-2021")</f>
        <v/>
      </c>
      <c r="W38">
        <f>HYPERLINK("https://klasma.github.io/Logging_0780/klagomålsmail/A 43912-2021 FSC-klagomål mail.docx", "A 43912-2021")</f>
        <v/>
      </c>
      <c r="X38">
        <f>HYPERLINK("https://klasma.github.io/Logging_0780/tillsyn/A 43912-2021 tillsynsbegäran.docx", "A 43912-2021")</f>
        <v/>
      </c>
      <c r="Y38">
        <f>HYPERLINK("https://klasma.github.io/Logging_0780/tillsynsmail/A 43912-2021 tillsynsbegäran mail.docx", "A 43912-2021")</f>
        <v/>
      </c>
    </row>
    <row r="39" ht="15" customHeight="1">
      <c r="A39" t="inlineStr">
        <is>
          <t>A 16796-2022</t>
        </is>
      </c>
      <c r="B39" s="1" t="n">
        <v>44673</v>
      </c>
      <c r="C39" s="1" t="n">
        <v>45789</v>
      </c>
      <c r="D39" t="inlineStr">
        <is>
          <t>KRONOBERGS LÄN</t>
        </is>
      </c>
      <c r="E39" t="inlineStr">
        <is>
          <t>VÄXJÖ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HYPERLINK("https://klasma.github.io/Logging_0780/artfynd/A 16796-2022 artfynd.xlsx", "A 16796-2022")</f>
        <v/>
      </c>
      <c r="T39">
        <f>HYPERLINK("https://klasma.github.io/Logging_0780/kartor/A 16796-2022 karta.png", "A 16796-2022")</f>
        <v/>
      </c>
      <c r="V39">
        <f>HYPERLINK("https://klasma.github.io/Logging_0780/klagomål/A 16796-2022 FSC-klagomål.docx", "A 16796-2022")</f>
        <v/>
      </c>
      <c r="W39">
        <f>HYPERLINK("https://klasma.github.io/Logging_0780/klagomålsmail/A 16796-2022 FSC-klagomål mail.docx", "A 16796-2022")</f>
        <v/>
      </c>
      <c r="X39">
        <f>HYPERLINK("https://klasma.github.io/Logging_0780/tillsyn/A 16796-2022 tillsynsbegäran.docx", "A 16796-2022")</f>
        <v/>
      </c>
      <c r="Y39">
        <f>HYPERLINK("https://klasma.github.io/Logging_0780/tillsynsmail/A 16796-2022 tillsynsbegäran mail.docx", "A 16796-2022")</f>
        <v/>
      </c>
    </row>
    <row r="40" ht="15" customHeight="1">
      <c r="A40" t="inlineStr">
        <is>
          <t>A 60820-2022</t>
        </is>
      </c>
      <c r="B40" s="1" t="n">
        <v>44914</v>
      </c>
      <c r="C40" s="1" t="n">
        <v>45789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HYPERLINK("https://klasma.github.io/Logging_0780/artfynd/A 60820-2022 artfynd.xlsx", "A 60820-2022")</f>
        <v/>
      </c>
      <c r="T40">
        <f>HYPERLINK("https://klasma.github.io/Logging_0780/kartor/A 60820-2022 karta.png", "A 60820-2022")</f>
        <v/>
      </c>
      <c r="V40">
        <f>HYPERLINK("https://klasma.github.io/Logging_0780/klagomål/A 60820-2022 FSC-klagomål.docx", "A 60820-2022")</f>
        <v/>
      </c>
      <c r="W40">
        <f>HYPERLINK("https://klasma.github.io/Logging_0780/klagomålsmail/A 60820-2022 FSC-klagomål mail.docx", "A 60820-2022")</f>
        <v/>
      </c>
      <c r="X40">
        <f>HYPERLINK("https://klasma.github.io/Logging_0780/tillsyn/A 60820-2022 tillsynsbegäran.docx", "A 60820-2022")</f>
        <v/>
      </c>
      <c r="Y40">
        <f>HYPERLINK("https://klasma.github.io/Logging_0780/tillsynsmail/A 60820-2022 tillsynsbegäran mail.docx", "A 60820-2022")</f>
        <v/>
      </c>
      <c r="Z40">
        <f>HYPERLINK("https://klasma.github.io/Logging_0780/fåglar/A 60820-2022 prioriterade fågelarter.docx", "A 60820-2022")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45789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28572-2023</t>
        </is>
      </c>
      <c r="B42" s="1" t="n">
        <v>45103</v>
      </c>
      <c r="C42" s="1" t="n">
        <v>45789</v>
      </c>
      <c r="D42" t="inlineStr">
        <is>
          <t>KRONOBERGS LÄN</t>
        </is>
      </c>
      <c r="E42" t="inlineStr">
        <is>
          <t>VÄXJÖ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HYPERLINK("https://klasma.github.io/Logging_0780/artfynd/A 28572-2023 artfynd.xlsx", "A 28572-2023")</f>
        <v/>
      </c>
      <c r="T42">
        <f>HYPERLINK("https://klasma.github.io/Logging_0780/kartor/A 28572-2023 karta.png", "A 28572-2023")</f>
        <v/>
      </c>
      <c r="V42">
        <f>HYPERLINK("https://klasma.github.io/Logging_0780/klagomål/A 28572-2023 FSC-klagomål.docx", "A 28572-2023")</f>
        <v/>
      </c>
      <c r="W42">
        <f>HYPERLINK("https://klasma.github.io/Logging_0780/klagomålsmail/A 28572-2023 FSC-klagomål mail.docx", "A 28572-2023")</f>
        <v/>
      </c>
      <c r="X42">
        <f>HYPERLINK("https://klasma.github.io/Logging_0780/tillsyn/A 28572-2023 tillsynsbegäran.docx", "A 28572-2023")</f>
        <v/>
      </c>
      <c r="Y42">
        <f>HYPERLINK("https://klasma.github.io/Logging_0780/tillsynsmail/A 28572-2023 tillsynsbegäran mail.docx", "A 28572-2023")</f>
        <v/>
      </c>
    </row>
    <row r="43" ht="15" customHeight="1">
      <c r="A43" t="inlineStr">
        <is>
          <t>A 58051-2023</t>
        </is>
      </c>
      <c r="B43" s="1" t="n">
        <v>45247</v>
      </c>
      <c r="C43" s="1" t="n">
        <v>45789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Parkhättemossa</t>
        </is>
      </c>
      <c r="S43">
        <f>HYPERLINK("https://klasma.github.io/Logging_0780/artfynd/A 58051-2023 artfynd.xlsx", "A 58051-2023")</f>
        <v/>
      </c>
      <c r="T43">
        <f>HYPERLINK("https://klasma.github.io/Logging_0780/kartor/A 58051-2023 karta.png", "A 58051-2023")</f>
        <v/>
      </c>
      <c r="V43">
        <f>HYPERLINK("https://klasma.github.io/Logging_0780/klagomål/A 58051-2023 FSC-klagomål.docx", "A 58051-2023")</f>
        <v/>
      </c>
      <c r="W43">
        <f>HYPERLINK("https://klasma.github.io/Logging_0780/klagomålsmail/A 58051-2023 FSC-klagomål mail.docx", "A 58051-2023")</f>
        <v/>
      </c>
      <c r="X43">
        <f>HYPERLINK("https://klasma.github.io/Logging_0780/tillsyn/A 58051-2023 tillsynsbegäran.docx", "A 58051-2023")</f>
        <v/>
      </c>
      <c r="Y43">
        <f>HYPERLINK("https://klasma.github.io/Logging_0780/tillsynsmail/A 58051-2023 tillsynsbegäran mail.docx", "A 58051-2023")</f>
        <v/>
      </c>
    </row>
    <row r="44" ht="15" customHeight="1">
      <c r="A44" t="inlineStr">
        <is>
          <t>A 63249-2023</t>
        </is>
      </c>
      <c r="B44" s="1" t="n">
        <v>45273</v>
      </c>
      <c r="C44" s="1" t="n">
        <v>45789</v>
      </c>
      <c r="D44" t="inlineStr">
        <is>
          <t>KRONOBERGS LÄN</t>
        </is>
      </c>
      <c r="E44" t="inlineStr">
        <is>
          <t>VÄXJÖ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Gropticka</t>
        </is>
      </c>
      <c r="S44">
        <f>HYPERLINK("https://klasma.github.io/Logging_0780/artfynd/A 63249-2023 artfynd.xlsx", "A 63249-2023")</f>
        <v/>
      </c>
      <c r="T44">
        <f>HYPERLINK("https://klasma.github.io/Logging_0780/kartor/A 63249-2023 karta.png", "A 63249-2023")</f>
        <v/>
      </c>
      <c r="V44">
        <f>HYPERLINK("https://klasma.github.io/Logging_0780/klagomål/A 63249-2023 FSC-klagomål.docx", "A 63249-2023")</f>
        <v/>
      </c>
      <c r="W44">
        <f>HYPERLINK("https://klasma.github.io/Logging_0780/klagomålsmail/A 63249-2023 FSC-klagomål mail.docx", "A 63249-2023")</f>
        <v/>
      </c>
      <c r="X44">
        <f>HYPERLINK("https://klasma.github.io/Logging_0780/tillsyn/A 63249-2023 tillsynsbegäran.docx", "A 63249-2023")</f>
        <v/>
      </c>
      <c r="Y44">
        <f>HYPERLINK("https://klasma.github.io/Logging_0780/tillsynsmail/A 63249-2023 tillsynsbegäran mail.docx", "A 63249-2023")</f>
        <v/>
      </c>
    </row>
    <row r="45" ht="15" customHeight="1">
      <c r="A45" t="inlineStr">
        <is>
          <t>A 64150-2023</t>
        </is>
      </c>
      <c r="B45" s="1" t="n">
        <v>45279</v>
      </c>
      <c r="C45" s="1" t="n">
        <v>45789</v>
      </c>
      <c r="D45" t="inlineStr">
        <is>
          <t>KRONOBERGS LÄN</t>
        </is>
      </c>
      <c r="E45" t="inlineStr">
        <is>
          <t>VÄXJÖ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HYPERLINK("https://klasma.github.io/Logging_0780/artfynd/A 64150-2023 artfynd.xlsx", "A 64150-2023")</f>
        <v/>
      </c>
      <c r="T45">
        <f>HYPERLINK("https://klasma.github.io/Logging_0780/kartor/A 64150-2023 karta.png", "A 64150-2023")</f>
        <v/>
      </c>
      <c r="V45">
        <f>HYPERLINK("https://klasma.github.io/Logging_0780/klagomål/A 64150-2023 FSC-klagomål.docx", "A 64150-2023")</f>
        <v/>
      </c>
      <c r="W45">
        <f>HYPERLINK("https://klasma.github.io/Logging_0780/klagomålsmail/A 64150-2023 FSC-klagomål mail.docx", "A 64150-2023")</f>
        <v/>
      </c>
      <c r="X45">
        <f>HYPERLINK("https://klasma.github.io/Logging_0780/tillsyn/A 64150-2023 tillsynsbegäran.docx", "A 64150-2023")</f>
        <v/>
      </c>
      <c r="Y45">
        <f>HYPERLINK("https://klasma.github.io/Logging_0780/tillsynsmail/A 64150-2023 tillsynsbegäran mail.docx", "A 64150-2023")</f>
        <v/>
      </c>
    </row>
    <row r="46" ht="15" customHeight="1">
      <c r="A46" t="inlineStr">
        <is>
          <t>A 64284-2023</t>
        </is>
      </c>
      <c r="B46" s="1" t="n">
        <v>45280</v>
      </c>
      <c r="C46" s="1" t="n">
        <v>45789</v>
      </c>
      <c r="D46" t="inlineStr">
        <is>
          <t>KRONOBERGS LÄN</t>
        </is>
      </c>
      <c r="E46" t="inlineStr">
        <is>
          <t>VÄXJÖ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HYPERLINK("https://klasma.github.io/Logging_0780/artfynd/A 64284-2023 artfynd.xlsx", "A 64284-2023")</f>
        <v/>
      </c>
      <c r="T46">
        <f>HYPERLINK("https://klasma.github.io/Logging_0780/kartor/A 64284-2023 karta.png", "A 64284-2023")</f>
        <v/>
      </c>
      <c r="V46">
        <f>HYPERLINK("https://klasma.github.io/Logging_0780/klagomål/A 64284-2023 FSC-klagomål.docx", "A 64284-2023")</f>
        <v/>
      </c>
      <c r="W46">
        <f>HYPERLINK("https://klasma.github.io/Logging_0780/klagomålsmail/A 64284-2023 FSC-klagomål mail.docx", "A 64284-2023")</f>
        <v/>
      </c>
      <c r="X46">
        <f>HYPERLINK("https://klasma.github.io/Logging_0780/tillsyn/A 64284-2023 tillsynsbegäran.docx", "A 64284-2023")</f>
        <v/>
      </c>
      <c r="Y46">
        <f>HYPERLINK("https://klasma.github.io/Logging_0780/tillsynsmail/A 64284-2023 tillsynsbegäran mail.docx", "A 64284-2023")</f>
        <v/>
      </c>
    </row>
    <row r="47" ht="15" customHeight="1">
      <c r="A47" t="inlineStr">
        <is>
          <t>A 14022-2024</t>
        </is>
      </c>
      <c r="B47" s="1" t="n">
        <v>45392</v>
      </c>
      <c r="C47" s="1" t="n">
        <v>45789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14022-2024 artfynd.xlsx", "A 14022-2024")</f>
        <v/>
      </c>
      <c r="T47">
        <f>HYPERLINK("https://klasma.github.io/Logging_0780/kartor/A 14022-2024 karta.png", "A 14022-2024")</f>
        <v/>
      </c>
      <c r="V47">
        <f>HYPERLINK("https://klasma.github.io/Logging_0780/klagomål/A 14022-2024 FSC-klagomål.docx", "A 14022-2024")</f>
        <v/>
      </c>
      <c r="W47">
        <f>HYPERLINK("https://klasma.github.io/Logging_0780/klagomålsmail/A 14022-2024 FSC-klagomål mail.docx", "A 14022-2024")</f>
        <v/>
      </c>
      <c r="X47">
        <f>HYPERLINK("https://klasma.github.io/Logging_0780/tillsyn/A 14022-2024 tillsynsbegäran.docx", "A 14022-2024")</f>
        <v/>
      </c>
      <c r="Y47">
        <f>HYPERLINK("https://klasma.github.io/Logging_0780/tillsynsmail/A 14022-2024 tillsynsbegäran mail.docx", "A 14022-2024")</f>
        <v/>
      </c>
    </row>
    <row r="48" ht="15" customHeight="1">
      <c r="A48" t="inlineStr">
        <is>
          <t>A 22576-2024</t>
        </is>
      </c>
      <c r="B48" s="1" t="n">
        <v>45447</v>
      </c>
      <c r="C48" s="1" t="n">
        <v>45789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HYPERLINK("https://klasma.github.io/Logging_0780/artfynd/A 22576-2024 artfynd.xlsx", "A 22576-2024")</f>
        <v/>
      </c>
      <c r="T48">
        <f>HYPERLINK("https://klasma.github.io/Logging_0780/kartor/A 22576-2024 karta.png", "A 22576-2024")</f>
        <v/>
      </c>
      <c r="V48">
        <f>HYPERLINK("https://klasma.github.io/Logging_0780/klagomål/A 22576-2024 FSC-klagomål.docx", "A 22576-2024")</f>
        <v/>
      </c>
      <c r="W48">
        <f>HYPERLINK("https://klasma.github.io/Logging_0780/klagomålsmail/A 22576-2024 FSC-klagomål mail.docx", "A 22576-2024")</f>
        <v/>
      </c>
      <c r="X48">
        <f>HYPERLINK("https://klasma.github.io/Logging_0780/tillsyn/A 22576-2024 tillsynsbegäran.docx", "A 22576-2024")</f>
        <v/>
      </c>
      <c r="Y48">
        <f>HYPERLINK("https://klasma.github.io/Logging_0780/tillsynsmail/A 22576-2024 tillsynsbegäran mail.docx", "A 22576-2024")</f>
        <v/>
      </c>
    </row>
    <row r="49" ht="15" customHeight="1">
      <c r="A49" t="inlineStr">
        <is>
          <t>A 30317-2024</t>
        </is>
      </c>
      <c r="B49" s="1" t="n">
        <v>45490</v>
      </c>
      <c r="C49" s="1" t="n">
        <v>45789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Scharlakansskål</t>
        </is>
      </c>
      <c r="S49">
        <f>HYPERLINK("https://klasma.github.io/Logging_0780/artfynd/A 30317-2024 artfynd.xlsx", "A 30317-2024")</f>
        <v/>
      </c>
      <c r="T49">
        <f>HYPERLINK("https://klasma.github.io/Logging_0780/kartor/A 30317-2024 karta.png", "A 30317-2024")</f>
        <v/>
      </c>
      <c r="V49">
        <f>HYPERLINK("https://klasma.github.io/Logging_0780/klagomål/A 30317-2024 FSC-klagomål.docx", "A 30317-2024")</f>
        <v/>
      </c>
      <c r="W49">
        <f>HYPERLINK("https://klasma.github.io/Logging_0780/klagomålsmail/A 30317-2024 FSC-klagomål mail.docx", "A 30317-2024")</f>
        <v/>
      </c>
      <c r="X49">
        <f>HYPERLINK("https://klasma.github.io/Logging_0780/tillsyn/A 30317-2024 tillsynsbegäran.docx", "A 30317-2024")</f>
        <v/>
      </c>
      <c r="Y49">
        <f>HYPERLINK("https://klasma.github.io/Logging_0780/tillsynsmail/A 30317-2024 tillsynsbegäran mail.docx", "A 30317-2024")</f>
        <v/>
      </c>
    </row>
    <row r="50" ht="15" customHeight="1">
      <c r="A50" t="inlineStr">
        <is>
          <t>A 35901-2024</t>
        </is>
      </c>
      <c r="B50" s="1" t="n">
        <v>45533</v>
      </c>
      <c r="C50" s="1" t="n">
        <v>45789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HYPERLINK("https://klasma.github.io/Logging_0780/artfynd/A 35901-2024 artfynd.xlsx", "A 35901-2024")</f>
        <v/>
      </c>
      <c r="T50">
        <f>HYPERLINK("https://klasma.github.io/Logging_0780/kartor/A 35901-2024 karta.png", "A 35901-2024")</f>
        <v/>
      </c>
      <c r="V50">
        <f>HYPERLINK("https://klasma.github.io/Logging_0780/klagomål/A 35901-2024 FSC-klagomål.docx", "A 35901-2024")</f>
        <v/>
      </c>
      <c r="W50">
        <f>HYPERLINK("https://klasma.github.io/Logging_0780/klagomålsmail/A 35901-2024 FSC-klagomål mail.docx", "A 35901-2024")</f>
        <v/>
      </c>
      <c r="X50">
        <f>HYPERLINK("https://klasma.github.io/Logging_0780/tillsyn/A 35901-2024 tillsynsbegäran.docx", "A 35901-2024")</f>
        <v/>
      </c>
      <c r="Y50">
        <f>HYPERLINK("https://klasma.github.io/Logging_0780/tillsynsmail/A 35901-2024 tillsynsbegäran mail.docx", "A 35901-2024")</f>
        <v/>
      </c>
      <c r="Z50">
        <f>HYPERLINK("https://klasma.github.io/Logging_0780/fåglar/A 35901-2024 prioriterade fågelarter.docx", "A 35901-2024")</f>
        <v/>
      </c>
    </row>
    <row r="51" ht="15" customHeight="1">
      <c r="A51" t="inlineStr">
        <is>
          <t>A 38036-2024</t>
        </is>
      </c>
      <c r="B51" s="1" t="n">
        <v>45544</v>
      </c>
      <c r="C51" s="1" t="n">
        <v>45789</v>
      </c>
      <c r="D51" t="inlineStr">
        <is>
          <t>KRONOBERGS LÄN</t>
        </is>
      </c>
      <c r="E51" t="inlineStr">
        <is>
          <t>VÄXJÖ</t>
        </is>
      </c>
      <c r="F51" t="inlineStr">
        <is>
          <t>Övriga Aktiebolag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HYPERLINK("https://klasma.github.io/Logging_0780/artfynd/A 38036-2024 artfynd.xlsx", "A 38036-2024")</f>
        <v/>
      </c>
      <c r="T51">
        <f>HYPERLINK("https://klasma.github.io/Logging_0780/kartor/A 38036-2024 karta.png", "A 38036-2024")</f>
        <v/>
      </c>
      <c r="V51">
        <f>HYPERLINK("https://klasma.github.io/Logging_0780/klagomål/A 38036-2024 FSC-klagomål.docx", "A 38036-2024")</f>
        <v/>
      </c>
      <c r="W51">
        <f>HYPERLINK("https://klasma.github.io/Logging_0780/klagomålsmail/A 38036-2024 FSC-klagomål mail.docx", "A 38036-2024")</f>
        <v/>
      </c>
      <c r="X51">
        <f>HYPERLINK("https://klasma.github.io/Logging_0780/tillsyn/A 38036-2024 tillsynsbegäran.docx", "A 38036-2024")</f>
        <v/>
      </c>
      <c r="Y51">
        <f>HYPERLINK("https://klasma.github.io/Logging_0780/tillsynsmail/A 38036-2024 tillsynsbegäran mail.docx", "A 38036-2024")</f>
        <v/>
      </c>
    </row>
    <row r="52" ht="15" customHeight="1">
      <c r="A52" t="inlineStr">
        <is>
          <t>A 38339-2024</t>
        </is>
      </c>
      <c r="B52" s="1" t="n">
        <v>45545</v>
      </c>
      <c r="C52" s="1" t="n">
        <v>45789</v>
      </c>
      <c r="D52" t="inlineStr">
        <is>
          <t>KRONOBERGS LÄN</t>
        </is>
      </c>
      <c r="E52" t="inlineStr">
        <is>
          <t>VÄXJÖ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Tallriska</t>
        </is>
      </c>
      <c r="S52">
        <f>HYPERLINK("https://klasma.github.io/Logging_0780/artfynd/A 38339-2024 artfynd.xlsx", "A 38339-2024")</f>
        <v/>
      </c>
      <c r="T52">
        <f>HYPERLINK("https://klasma.github.io/Logging_0780/kartor/A 38339-2024 karta.png", "A 38339-2024")</f>
        <v/>
      </c>
      <c r="V52">
        <f>HYPERLINK("https://klasma.github.io/Logging_0780/klagomål/A 38339-2024 FSC-klagomål.docx", "A 38339-2024")</f>
        <v/>
      </c>
      <c r="W52">
        <f>HYPERLINK("https://klasma.github.io/Logging_0780/klagomålsmail/A 38339-2024 FSC-klagomål mail.docx", "A 38339-2024")</f>
        <v/>
      </c>
      <c r="X52">
        <f>HYPERLINK("https://klasma.github.io/Logging_0780/tillsyn/A 38339-2024 tillsynsbegäran.docx", "A 38339-2024")</f>
        <v/>
      </c>
      <c r="Y52">
        <f>HYPERLINK("https://klasma.github.io/Logging_0780/tillsynsmail/A 38339-2024 tillsynsbegäran mail.docx", "A 38339-2024")</f>
        <v/>
      </c>
    </row>
    <row r="53" ht="15" customHeight="1">
      <c r="A53" t="inlineStr">
        <is>
          <t>A 40266-2024</t>
        </is>
      </c>
      <c r="B53" s="1" t="n">
        <v>45554</v>
      </c>
      <c r="C53" s="1" t="n">
        <v>45789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HYPERLINK("https://klasma.github.io/Logging_0780/artfynd/A 40266-2024 artfynd.xlsx", "A 40266-2024")</f>
        <v/>
      </c>
      <c r="T53">
        <f>HYPERLINK("https://klasma.github.io/Logging_0780/kartor/A 40266-2024 karta.png", "A 40266-2024")</f>
        <v/>
      </c>
      <c r="V53">
        <f>HYPERLINK("https://klasma.github.io/Logging_0780/klagomål/A 40266-2024 FSC-klagomål.docx", "A 40266-2024")</f>
        <v/>
      </c>
      <c r="W53">
        <f>HYPERLINK("https://klasma.github.io/Logging_0780/klagomålsmail/A 40266-2024 FSC-klagomål mail.docx", "A 40266-2024")</f>
        <v/>
      </c>
      <c r="X53">
        <f>HYPERLINK("https://klasma.github.io/Logging_0780/tillsyn/A 40266-2024 tillsynsbegäran.docx", "A 40266-2024")</f>
        <v/>
      </c>
      <c r="Y53">
        <f>HYPERLINK("https://klasma.github.io/Logging_0780/tillsynsmail/A 40266-2024 tillsynsbegäran mail.docx", "A 40266-2024")</f>
        <v/>
      </c>
    </row>
    <row r="54" ht="15" customHeight="1">
      <c r="A54" t="inlineStr">
        <is>
          <t>A 51647-2024</t>
        </is>
      </c>
      <c r="B54" s="1" t="n">
        <v>45606</v>
      </c>
      <c r="C54" s="1" t="n">
        <v>45789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HYPERLINK("https://klasma.github.io/Logging_0780/artfynd/A 51647-2024 artfynd.xlsx", "A 51647-2024")</f>
        <v/>
      </c>
      <c r="T54">
        <f>HYPERLINK("https://klasma.github.io/Logging_0780/kartor/A 51647-2024 karta.png", "A 51647-2024")</f>
        <v/>
      </c>
      <c r="V54">
        <f>HYPERLINK("https://klasma.github.io/Logging_0780/klagomål/A 51647-2024 FSC-klagomål.docx", "A 51647-2024")</f>
        <v/>
      </c>
      <c r="W54">
        <f>HYPERLINK("https://klasma.github.io/Logging_0780/klagomålsmail/A 51647-2024 FSC-klagomål mail.docx", "A 51647-2024")</f>
        <v/>
      </c>
      <c r="X54">
        <f>HYPERLINK("https://klasma.github.io/Logging_0780/tillsyn/A 51647-2024 tillsynsbegäran.docx", "A 51647-2024")</f>
        <v/>
      </c>
      <c r="Y54">
        <f>HYPERLINK("https://klasma.github.io/Logging_0780/tillsynsmail/A 51647-2024 tillsynsbegäran mail.docx", "A 51647-2024")</f>
        <v/>
      </c>
    </row>
    <row r="55" ht="15" customHeight="1">
      <c r="A55" t="inlineStr">
        <is>
          <t>A 52628-2024</t>
        </is>
      </c>
      <c r="B55" s="1" t="n">
        <v>45610</v>
      </c>
      <c r="C55" s="1" t="n">
        <v>45789</v>
      </c>
      <c r="D55" t="inlineStr">
        <is>
          <t>KRONOBERGS LÄN</t>
        </is>
      </c>
      <c r="E55" t="inlineStr">
        <is>
          <t>VÄXJÖ</t>
        </is>
      </c>
      <c r="G55" t="n">
        <v>4.2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HYPERLINK("https://klasma.github.io/Logging_0780/artfynd/A 52628-2024 artfynd.xlsx", "A 52628-2024")</f>
        <v/>
      </c>
      <c r="T55">
        <f>HYPERLINK("https://klasma.github.io/Logging_0780/kartor/A 52628-2024 karta.png", "A 52628-2024")</f>
        <v/>
      </c>
      <c r="V55">
        <f>HYPERLINK("https://klasma.github.io/Logging_0780/klagomål/A 52628-2024 FSC-klagomål.docx", "A 52628-2024")</f>
        <v/>
      </c>
      <c r="W55">
        <f>HYPERLINK("https://klasma.github.io/Logging_0780/klagomålsmail/A 52628-2024 FSC-klagomål mail.docx", "A 52628-2024")</f>
        <v/>
      </c>
      <c r="X55">
        <f>HYPERLINK("https://klasma.github.io/Logging_0780/tillsyn/A 52628-2024 tillsynsbegäran.docx", "A 52628-2024")</f>
        <v/>
      </c>
      <c r="Y55">
        <f>HYPERLINK("https://klasma.github.io/Logging_0780/tillsynsmail/A 52628-2024 tillsynsbegäran mail.docx", "A 52628-2024")</f>
        <v/>
      </c>
      <c r="Z55">
        <f>HYPERLINK("https://klasma.github.io/Logging_0780/fåglar/A 52628-2024 prioriterade fågelarter.docx", "A 52628-2024")</f>
        <v/>
      </c>
    </row>
    <row r="56" ht="15" customHeight="1">
      <c r="A56" t="inlineStr">
        <is>
          <t>A 60064-2024</t>
        </is>
      </c>
      <c r="B56" s="1" t="n">
        <v>45642</v>
      </c>
      <c r="C56" s="1" t="n">
        <v>45789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60064-2024 artfynd.xlsx", "A 60064-2024")</f>
        <v/>
      </c>
      <c r="T56">
        <f>HYPERLINK("https://klasma.github.io/Logging_0780/kartor/A 60064-2024 karta.png", "A 60064-2024")</f>
        <v/>
      </c>
      <c r="V56">
        <f>HYPERLINK("https://klasma.github.io/Logging_0780/klagomål/A 60064-2024 FSC-klagomål.docx", "A 60064-2024")</f>
        <v/>
      </c>
      <c r="W56">
        <f>HYPERLINK("https://klasma.github.io/Logging_0780/klagomålsmail/A 60064-2024 FSC-klagomål mail.docx", "A 60064-2024")</f>
        <v/>
      </c>
      <c r="X56">
        <f>HYPERLINK("https://klasma.github.io/Logging_0780/tillsyn/A 60064-2024 tillsynsbegäran.docx", "A 60064-2024")</f>
        <v/>
      </c>
      <c r="Y56">
        <f>HYPERLINK("https://klasma.github.io/Logging_0780/tillsynsmail/A 60064-2024 tillsynsbegäran mail.docx", "A 60064-2024")</f>
        <v/>
      </c>
    </row>
    <row r="57" ht="15" customHeight="1">
      <c r="A57" t="inlineStr">
        <is>
          <t>A 60370-2024</t>
        </is>
      </c>
      <c r="B57" s="1" t="n">
        <v>45643</v>
      </c>
      <c r="C57" s="1" t="n">
        <v>45789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60370-2024 artfynd.xlsx", "A 60370-2024")</f>
        <v/>
      </c>
      <c r="T57">
        <f>HYPERLINK("https://klasma.github.io/Logging_0780/kartor/A 60370-2024 karta.png", "A 60370-2024")</f>
        <v/>
      </c>
      <c r="V57">
        <f>HYPERLINK("https://klasma.github.io/Logging_0780/klagomål/A 60370-2024 FSC-klagomål.docx", "A 60370-2024")</f>
        <v/>
      </c>
      <c r="W57">
        <f>HYPERLINK("https://klasma.github.io/Logging_0780/klagomålsmail/A 60370-2024 FSC-klagomål mail.docx", "A 60370-2024")</f>
        <v/>
      </c>
      <c r="X57">
        <f>HYPERLINK("https://klasma.github.io/Logging_0780/tillsyn/A 60370-2024 tillsynsbegäran.docx", "A 60370-2024")</f>
        <v/>
      </c>
      <c r="Y57">
        <f>HYPERLINK("https://klasma.github.io/Logging_0780/tillsynsmail/A 60370-2024 tillsynsbegäran mail.docx", "A 60370-2024")</f>
        <v/>
      </c>
    </row>
    <row r="58" ht="15" customHeight="1">
      <c r="A58" t="inlineStr">
        <is>
          <t>A 18079-2025</t>
        </is>
      </c>
      <c r="B58" s="1" t="n">
        <v>45761</v>
      </c>
      <c r="C58" s="1" t="n">
        <v>45789</v>
      </c>
      <c r="D58" t="inlineStr">
        <is>
          <t>KRONOBERGS LÄN</t>
        </is>
      </c>
      <c r="E58" t="inlineStr">
        <is>
          <t>VÄXJÖ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HYPERLINK("https://klasma.github.io/Logging_070780/artfynd/A 18079-2025 artfynd.xlsx", "A 18079-2025")</f>
        <v/>
      </c>
      <c r="T58">
        <f>HYPERLINK("https://klasma.github.io/Logging_070780/kartor/A 18079-2025 karta.png", "A 18079-2025")</f>
        <v/>
      </c>
      <c r="V58">
        <f>HYPERLINK("https://klasma.github.io/Logging_070780/klagomål/A 18079-2025 FSC-klagomål.docx", "A 18079-2025")</f>
        <v/>
      </c>
      <c r="W58">
        <f>HYPERLINK("https://klasma.github.io/Logging_070780/klagomålsmail/A 18079-2025 FSC-klagomål mail.docx", "A 18079-2025")</f>
        <v/>
      </c>
      <c r="X58">
        <f>HYPERLINK("https://klasma.github.io/Logging_070780/tillsyn/A 18079-2025 tillsynsbegäran.docx", "A 18079-2025")</f>
        <v/>
      </c>
      <c r="Y58">
        <f>HYPERLINK("https://klasma.github.io/Logging_070780/tillsynsmail/A 18079-2025 tillsynsbegäran mail.docx", "A 18079-2025")</f>
        <v/>
      </c>
    </row>
    <row r="59" ht="15" customHeight="1">
      <c r="A59" t="inlineStr">
        <is>
          <t>A 21107-2025</t>
        </is>
      </c>
      <c r="B59" s="1" t="n">
        <v>45777</v>
      </c>
      <c r="C59" s="1" t="n">
        <v>45789</v>
      </c>
      <c r="D59" t="inlineStr">
        <is>
          <t>KRONOBERGS LÄN</t>
        </is>
      </c>
      <c r="E59" t="inlineStr">
        <is>
          <t>VÄXJÖ</t>
        </is>
      </c>
      <c r="G59" t="n">
        <v>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Fjällvråk</t>
        </is>
      </c>
      <c r="S59">
        <f>HYPERLINK("https://klasma.github.io/Logging_070780/artfynd/A 21107-2025 artfynd.xlsx", "A 21107-2025")</f>
        <v/>
      </c>
      <c r="T59">
        <f>HYPERLINK("https://klasma.github.io/Logging_070780/kartor/A 21107-2025 karta.png", "A 21107-2025")</f>
        <v/>
      </c>
      <c r="V59">
        <f>HYPERLINK("https://klasma.github.io/Logging_070780/klagomål/A 21107-2025 FSC-klagomål.docx", "A 21107-2025")</f>
        <v/>
      </c>
      <c r="W59">
        <f>HYPERLINK("https://klasma.github.io/Logging_070780/klagomålsmail/A 21107-2025 FSC-klagomål mail.docx", "A 21107-2025")</f>
        <v/>
      </c>
      <c r="X59">
        <f>HYPERLINK("https://klasma.github.io/Logging_070780/tillsyn/A 21107-2025 tillsynsbegäran.docx", "A 21107-2025")</f>
        <v/>
      </c>
      <c r="Y59">
        <f>HYPERLINK("https://klasma.github.io/Logging_070780/tillsynsmail/A 21107-2025 tillsynsbegäran mail.docx", "A 21107-2025")</f>
        <v/>
      </c>
      <c r="Z59">
        <f>HYPERLINK("https://klasma.github.io/Logging_070780/fåglar/A 21107-2025 prioriterade fågelarter.docx", "A 21107-2025")</f>
        <v/>
      </c>
    </row>
    <row r="60" ht="15" customHeight="1">
      <c r="A60" t="inlineStr">
        <is>
          <t>A 21527-2025</t>
        </is>
      </c>
      <c r="B60" s="1" t="n">
        <v>45782</v>
      </c>
      <c r="C60" s="1" t="n">
        <v>45789</v>
      </c>
      <c r="D60" t="inlineStr">
        <is>
          <t>KRONOBERGS LÄN</t>
        </is>
      </c>
      <c r="E60" t="inlineStr">
        <is>
          <t>VÄXJÖ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HYPERLINK("https://klasma.github.io/Logging_070780/artfynd/A 21527-2025 artfynd.xlsx", "A 21527-2025")</f>
        <v/>
      </c>
      <c r="T60">
        <f>HYPERLINK("https://klasma.github.io/Logging_070780/kartor/A 21527-2025 karta.png", "A 21527-2025")</f>
        <v/>
      </c>
      <c r="V60">
        <f>HYPERLINK("https://klasma.github.io/Logging_070780/klagomål/A 21527-2025 FSC-klagomål.docx", "A 21527-2025")</f>
        <v/>
      </c>
      <c r="W60">
        <f>HYPERLINK("https://klasma.github.io/Logging_070780/klagomålsmail/A 21527-2025 FSC-klagomål mail.docx", "A 21527-2025")</f>
        <v/>
      </c>
      <c r="X60">
        <f>HYPERLINK("https://klasma.github.io/Logging_070780/tillsyn/A 21527-2025 tillsynsbegäran.docx", "A 21527-2025")</f>
        <v/>
      </c>
      <c r="Y60">
        <f>HYPERLINK("https://klasma.github.io/Logging_070780/tillsynsmail/A 21527-2025 tillsynsbegäran mail.docx", "A 21527-2025")</f>
        <v/>
      </c>
    </row>
    <row r="61" ht="15" customHeight="1">
      <c r="A61" t="inlineStr">
        <is>
          <t>A 17746-2019</t>
        </is>
      </c>
      <c r="B61" s="1" t="n">
        <v>43556</v>
      </c>
      <c r="C61" s="1" t="n">
        <v>45789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18007-2019</t>
        </is>
      </c>
      <c r="B62" s="1" t="n">
        <v>43557</v>
      </c>
      <c r="C62" s="1" t="n">
        <v>45789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18263-2019</t>
        </is>
      </c>
      <c r="B63" s="1" t="n">
        <v>43558</v>
      </c>
      <c r="C63" s="1" t="n">
        <v>45789</v>
      </c>
      <c r="D63" t="inlineStr">
        <is>
          <t>KRONOBERGS LÄN</t>
        </is>
      </c>
      <c r="E63" t="inlineStr">
        <is>
          <t>VÄXJÖ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19509-2019</t>
        </is>
      </c>
      <c r="B64" s="1" t="n">
        <v>43565</v>
      </c>
      <c r="C64" s="1" t="n">
        <v>45789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19506-2019</t>
        </is>
      </c>
      <c r="B65" s="1" t="n">
        <v>43565</v>
      </c>
      <c r="C65" s="1" t="n">
        <v>45789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19687-2019</t>
        </is>
      </c>
      <c r="B66" s="1" t="n">
        <v>43566</v>
      </c>
      <c r="C66" s="1" t="n">
        <v>45789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20598-2019</t>
        </is>
      </c>
      <c r="B67" s="1" t="n">
        <v>43572</v>
      </c>
      <c r="C67" s="1" t="n">
        <v>45789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20944-2019</t>
        </is>
      </c>
      <c r="B68" s="1" t="n">
        <v>43578</v>
      </c>
      <c r="C68" s="1" t="n">
        <v>45789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20938-2019</t>
        </is>
      </c>
      <c r="B69" s="1" t="n">
        <v>43578</v>
      </c>
      <c r="C69" s="1" t="n">
        <v>45789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20988-2019</t>
        </is>
      </c>
      <c r="B70" s="1" t="n">
        <v>43578</v>
      </c>
      <c r="C70" s="1" t="n">
        <v>45789</v>
      </c>
      <c r="D70" t="inlineStr">
        <is>
          <t>KRONOBERGS LÄN</t>
        </is>
      </c>
      <c r="E70" t="inlineStr">
        <is>
          <t>VÄXJÖ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21076-2019</t>
        </is>
      </c>
      <c r="B71" s="1" t="n">
        <v>43578</v>
      </c>
      <c r="C71" s="1" t="n">
        <v>45789</v>
      </c>
      <c r="D71" t="inlineStr">
        <is>
          <t>KRONOBERGS LÄN</t>
        </is>
      </c>
      <c r="E71" t="inlineStr">
        <is>
          <t>VÄXJÖ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21712-2019</t>
        </is>
      </c>
      <c r="B72" s="1" t="n">
        <v>43581</v>
      </c>
      <c r="C72" s="1" t="n">
        <v>45789</v>
      </c>
      <c r="D72" t="inlineStr">
        <is>
          <t>KRONOBERGS LÄN</t>
        </is>
      </c>
      <c r="E72" t="inlineStr">
        <is>
          <t>VÄXJÖ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21665-2019</t>
        </is>
      </c>
      <c r="B73" s="1" t="n">
        <v>43581</v>
      </c>
      <c r="C73" s="1" t="n">
        <v>45789</v>
      </c>
      <c r="D73" t="inlineStr">
        <is>
          <t>KRONOBERGS LÄN</t>
        </is>
      </c>
      <c r="E73" t="inlineStr">
        <is>
          <t>VÄXJÖ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22084-2019</t>
        </is>
      </c>
      <c r="B74" s="1" t="n">
        <v>43584</v>
      </c>
      <c r="C74" s="1" t="n">
        <v>45789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22163-2019</t>
        </is>
      </c>
      <c r="B75" s="1" t="n">
        <v>43585</v>
      </c>
      <c r="C75" s="1" t="n">
        <v>45789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22395-2019</t>
        </is>
      </c>
      <c r="B76" s="1" t="n">
        <v>43585</v>
      </c>
      <c r="C76" s="1" t="n">
        <v>45789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22381-2019</t>
        </is>
      </c>
      <c r="B77" s="1" t="n">
        <v>43585</v>
      </c>
      <c r="C77" s="1" t="n">
        <v>45789</v>
      </c>
      <c r="D77" t="inlineStr">
        <is>
          <t>KRONOBERGS LÄN</t>
        </is>
      </c>
      <c r="E77" t="inlineStr">
        <is>
          <t>VÄXJÖ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22397-2019</t>
        </is>
      </c>
      <c r="B78" s="1" t="n">
        <v>43585</v>
      </c>
      <c r="C78" s="1" t="n">
        <v>45789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22346-2019</t>
        </is>
      </c>
      <c r="B79" s="1" t="n">
        <v>43587</v>
      </c>
      <c r="C79" s="1" t="n">
        <v>45789</v>
      </c>
      <c r="D79" t="inlineStr">
        <is>
          <t>KRONOBERGS LÄN</t>
        </is>
      </c>
      <c r="E79" t="inlineStr">
        <is>
          <t>VÄXJÖ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22349-2019</t>
        </is>
      </c>
      <c r="B80" s="1" t="n">
        <v>43587</v>
      </c>
      <c r="C80" s="1" t="n">
        <v>45789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22948-2019</t>
        </is>
      </c>
      <c r="B81" s="1" t="n">
        <v>43591</v>
      </c>
      <c r="C81" s="1" t="n">
        <v>45789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23252-2019</t>
        </is>
      </c>
      <c r="B82" s="1" t="n">
        <v>43592</v>
      </c>
      <c r="C82" s="1" t="n">
        <v>45789</v>
      </c>
      <c r="D82" t="inlineStr">
        <is>
          <t>KRONOBERGS LÄN</t>
        </is>
      </c>
      <c r="E82" t="inlineStr">
        <is>
          <t>VÄXJÖ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23375-2019</t>
        </is>
      </c>
      <c r="B83" s="1" t="n">
        <v>43593</v>
      </c>
      <c r="C83" s="1" t="n">
        <v>45789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23525-2019</t>
        </is>
      </c>
      <c r="B84" s="1" t="n">
        <v>43594</v>
      </c>
      <c r="C84" s="1" t="n">
        <v>45789</v>
      </c>
      <c r="D84" t="inlineStr">
        <is>
          <t>KRONOBERGS LÄN</t>
        </is>
      </c>
      <c r="E84" t="inlineStr">
        <is>
          <t>VÄXJÖ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23776-2019</t>
        </is>
      </c>
      <c r="B85" s="1" t="n">
        <v>43595</v>
      </c>
      <c r="C85" s="1" t="n">
        <v>45789</v>
      </c>
      <c r="D85" t="inlineStr">
        <is>
          <t>KRONOBERGS LÄN</t>
        </is>
      </c>
      <c r="E85" t="inlineStr">
        <is>
          <t>VÄXJÖ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23882-2019</t>
        </is>
      </c>
      <c r="B86" s="1" t="n">
        <v>43595</v>
      </c>
      <c r="C86" s="1" t="n">
        <v>45789</v>
      </c>
      <c r="D86" t="inlineStr">
        <is>
          <t>KRONOBERGS LÄN</t>
        </is>
      </c>
      <c r="E86" t="inlineStr">
        <is>
          <t>VÄXJÖ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23983-2019</t>
        </is>
      </c>
      <c r="B87" s="1" t="n">
        <v>43598</v>
      </c>
      <c r="C87" s="1" t="n">
        <v>45789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24055-2019</t>
        </is>
      </c>
      <c r="B88" s="1" t="n">
        <v>43598</v>
      </c>
      <c r="C88" s="1" t="n">
        <v>45789</v>
      </c>
      <c r="D88" t="inlineStr">
        <is>
          <t>KRONOBERGS LÄN</t>
        </is>
      </c>
      <c r="E88" t="inlineStr">
        <is>
          <t>VÄXJÖ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24748-2019</t>
        </is>
      </c>
      <c r="B89" s="1" t="n">
        <v>43601</v>
      </c>
      <c r="C89" s="1" t="n">
        <v>45789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25843-2019</t>
        </is>
      </c>
      <c r="B90" s="1" t="n">
        <v>43605</v>
      </c>
      <c r="C90" s="1" t="n">
        <v>45789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26478-2019</t>
        </is>
      </c>
      <c r="B91" s="1" t="n">
        <v>43607</v>
      </c>
      <c r="C91" s="1" t="n">
        <v>45789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26466-2019</t>
        </is>
      </c>
      <c r="B92" s="1" t="n">
        <v>43607</v>
      </c>
      <c r="C92" s="1" t="n">
        <v>45789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26494-2019</t>
        </is>
      </c>
      <c r="B93" s="1" t="n">
        <v>43607</v>
      </c>
      <c r="C93" s="1" t="n">
        <v>45789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25735-2019</t>
        </is>
      </c>
      <c r="B94" s="1" t="n">
        <v>43608</v>
      </c>
      <c r="C94" s="1" t="n">
        <v>45789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27614-2019</t>
        </is>
      </c>
      <c r="B95" s="1" t="n">
        <v>43619</v>
      </c>
      <c r="C95" s="1" t="n">
        <v>45789</v>
      </c>
      <c r="D95" t="inlineStr">
        <is>
          <t>KRONOBERGS LÄN</t>
        </is>
      </c>
      <c r="E95" t="inlineStr">
        <is>
          <t>VÄXJÖ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27704-2019</t>
        </is>
      </c>
      <c r="B96" s="1" t="n">
        <v>43619</v>
      </c>
      <c r="C96" s="1" t="n">
        <v>45789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27568-2019</t>
        </is>
      </c>
      <c r="B97" s="1" t="n">
        <v>43619</v>
      </c>
      <c r="C97" s="1" t="n">
        <v>45789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27919-2019</t>
        </is>
      </c>
      <c r="B98" s="1" t="n">
        <v>43620</v>
      </c>
      <c r="C98" s="1" t="n">
        <v>45789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27913-2019</t>
        </is>
      </c>
      <c r="B99" s="1" t="n">
        <v>43620</v>
      </c>
      <c r="C99" s="1" t="n">
        <v>45789</v>
      </c>
      <c r="D99" t="inlineStr">
        <is>
          <t>KRONOBERGS LÄN</t>
        </is>
      </c>
      <c r="E99" t="inlineStr">
        <is>
          <t>VÄXJÖ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27936-2019</t>
        </is>
      </c>
      <c r="B100" s="1" t="n">
        <v>43620</v>
      </c>
      <c r="C100" s="1" t="n">
        <v>45789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27940-2019</t>
        </is>
      </c>
      <c r="B101" s="1" t="n">
        <v>43620</v>
      </c>
      <c r="C101" s="1" t="n">
        <v>45789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28556-2019</t>
        </is>
      </c>
      <c r="B102" s="1" t="n">
        <v>43626</v>
      </c>
      <c r="C102" s="1" t="n">
        <v>45789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28728-2019</t>
        </is>
      </c>
      <c r="B103" s="1" t="n">
        <v>43627</v>
      </c>
      <c r="C103" s="1" t="n">
        <v>45789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29353-2019</t>
        </is>
      </c>
      <c r="B104" s="1" t="n">
        <v>43629</v>
      </c>
      <c r="C104" s="1" t="n">
        <v>45789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30642-2019</t>
        </is>
      </c>
      <c r="B105" s="1" t="n">
        <v>43636</v>
      </c>
      <c r="C105" s="1" t="n">
        <v>45789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31003-2019</t>
        </is>
      </c>
      <c r="B106" s="1" t="n">
        <v>43640</v>
      </c>
      <c r="C106" s="1" t="n">
        <v>45789</v>
      </c>
      <c r="D106" t="inlineStr">
        <is>
          <t>KRONOBERGS LÄN</t>
        </is>
      </c>
      <c r="E106" t="inlineStr">
        <is>
          <t>VÄXJÖ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31484-2019</t>
        </is>
      </c>
      <c r="B107" s="1" t="n">
        <v>43641</v>
      </c>
      <c r="C107" s="1" t="n">
        <v>45789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31339-2019</t>
        </is>
      </c>
      <c r="B108" s="1" t="n">
        <v>43641</v>
      </c>
      <c r="C108" s="1" t="n">
        <v>45789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31550-2019</t>
        </is>
      </c>
      <c r="B109" s="1" t="n">
        <v>43641</v>
      </c>
      <c r="C109" s="1" t="n">
        <v>45789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31505-2019</t>
        </is>
      </c>
      <c r="B110" s="1" t="n">
        <v>43641</v>
      </c>
      <c r="C110" s="1" t="n">
        <v>45789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31797-2019</t>
        </is>
      </c>
      <c r="B111" s="1" t="n">
        <v>43642</v>
      </c>
      <c r="C111" s="1" t="n">
        <v>45789</v>
      </c>
      <c r="D111" t="inlineStr">
        <is>
          <t>KRONOBERGS LÄN</t>
        </is>
      </c>
      <c r="E111" t="inlineStr">
        <is>
          <t>VÄXJÖ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31799-2019</t>
        </is>
      </c>
      <c r="B112" s="1" t="n">
        <v>43642</v>
      </c>
      <c r="C112" s="1" t="n">
        <v>45789</v>
      </c>
      <c r="D112" t="inlineStr">
        <is>
          <t>KRONOBERGS LÄN</t>
        </is>
      </c>
      <c r="E112" t="inlineStr">
        <is>
          <t>VÄXJÖ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31946-2019</t>
        </is>
      </c>
      <c r="B113" s="1" t="n">
        <v>43643</v>
      </c>
      <c r="C113" s="1" t="n">
        <v>45789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31999-2019</t>
        </is>
      </c>
      <c r="B114" s="1" t="n">
        <v>43643</v>
      </c>
      <c r="C114" s="1" t="n">
        <v>45789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31928-2019</t>
        </is>
      </c>
      <c r="B115" s="1" t="n">
        <v>43643</v>
      </c>
      <c r="C115" s="1" t="n">
        <v>45789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31943-2019</t>
        </is>
      </c>
      <c r="B116" s="1" t="n">
        <v>43643</v>
      </c>
      <c r="C116" s="1" t="n">
        <v>45789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32063-2019</t>
        </is>
      </c>
      <c r="B117" s="1" t="n">
        <v>43643</v>
      </c>
      <c r="C117" s="1" t="n">
        <v>45789</v>
      </c>
      <c r="D117" t="inlineStr">
        <is>
          <t>KRONOBERGS LÄN</t>
        </is>
      </c>
      <c r="E117" t="inlineStr">
        <is>
          <t>VÄXJÖ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32518-2019</t>
        </is>
      </c>
      <c r="B118" s="1" t="n">
        <v>43646</v>
      </c>
      <c r="C118" s="1" t="n">
        <v>45789</v>
      </c>
      <c r="D118" t="inlineStr">
        <is>
          <t>KRONOBERGS LÄN</t>
        </is>
      </c>
      <c r="E118" t="inlineStr">
        <is>
          <t>VÄXJÖ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32598-2019</t>
        </is>
      </c>
      <c r="B119" s="1" t="n">
        <v>43647</v>
      </c>
      <c r="C119" s="1" t="n">
        <v>45789</v>
      </c>
      <c r="D119" t="inlineStr">
        <is>
          <t>KRONOBERGS LÄN</t>
        </is>
      </c>
      <c r="E119" t="inlineStr">
        <is>
          <t>VÄXJÖ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32605-2019</t>
        </is>
      </c>
      <c r="B120" s="1" t="n">
        <v>43647</v>
      </c>
      <c r="C120" s="1" t="n">
        <v>45789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33152-2019</t>
        </is>
      </c>
      <c r="B121" s="1" t="n">
        <v>43649</v>
      </c>
      <c r="C121" s="1" t="n">
        <v>45789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33139-2019</t>
        </is>
      </c>
      <c r="B122" s="1" t="n">
        <v>43649</v>
      </c>
      <c r="C122" s="1" t="n">
        <v>45789</v>
      </c>
      <c r="D122" t="inlineStr">
        <is>
          <t>KRONOBERGS LÄN</t>
        </is>
      </c>
      <c r="E122" t="inlineStr">
        <is>
          <t>VÄXJÖ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33022-2019</t>
        </is>
      </c>
      <c r="B123" s="1" t="n">
        <v>43649</v>
      </c>
      <c r="C123" s="1" t="n">
        <v>45789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33286-2019</t>
        </is>
      </c>
      <c r="B124" s="1" t="n">
        <v>43650</v>
      </c>
      <c r="C124" s="1" t="n">
        <v>45789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33487-2019</t>
        </is>
      </c>
      <c r="B125" s="1" t="n">
        <v>43651</v>
      </c>
      <c r="C125" s="1" t="n">
        <v>45789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33896-2019</t>
        </is>
      </c>
      <c r="B126" s="1" t="n">
        <v>43653</v>
      </c>
      <c r="C126" s="1" t="n">
        <v>45789</v>
      </c>
      <c r="D126" t="inlineStr">
        <is>
          <t>KRONOBERGS LÄN</t>
        </is>
      </c>
      <c r="E126" t="inlineStr">
        <is>
          <t>VÄXJÖ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33897-2019</t>
        </is>
      </c>
      <c r="B127" s="1" t="n">
        <v>43653</v>
      </c>
      <c r="C127" s="1" t="n">
        <v>45789</v>
      </c>
      <c r="D127" t="inlineStr">
        <is>
          <t>KRONOBERGS LÄN</t>
        </is>
      </c>
      <c r="E127" t="inlineStr">
        <is>
          <t>VÄXJÖ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33970-2019</t>
        </is>
      </c>
      <c r="B128" s="1" t="n">
        <v>43654</v>
      </c>
      <c r="C128" s="1" t="n">
        <v>45789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34200-2019</t>
        </is>
      </c>
      <c r="B129" s="1" t="n">
        <v>43655</v>
      </c>
      <c r="C129" s="1" t="n">
        <v>45789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35640-2019</t>
        </is>
      </c>
      <c r="B130" s="1" t="n">
        <v>43655</v>
      </c>
      <c r="C130" s="1" t="n">
        <v>45789</v>
      </c>
      <c r="D130" t="inlineStr">
        <is>
          <t>KRONOBERGS LÄN</t>
        </is>
      </c>
      <c r="E130" t="inlineStr">
        <is>
          <t>VÄXJÖ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35305-2019</t>
        </is>
      </c>
      <c r="B131" s="1" t="n">
        <v>43662</v>
      </c>
      <c r="C131" s="1" t="n">
        <v>45789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35476-2019</t>
        </is>
      </c>
      <c r="B132" s="1" t="n">
        <v>43663</v>
      </c>
      <c r="C132" s="1" t="n">
        <v>45789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35473-2019</t>
        </is>
      </c>
      <c r="B133" s="1" t="n">
        <v>43663</v>
      </c>
      <c r="C133" s="1" t="n">
        <v>45789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36264-2019</t>
        </is>
      </c>
      <c r="B134" s="1" t="n">
        <v>43669</v>
      </c>
      <c r="C134" s="1" t="n">
        <v>45789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36294-2019</t>
        </is>
      </c>
      <c r="B135" s="1" t="n">
        <v>43669</v>
      </c>
      <c r="C135" s="1" t="n">
        <v>45789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36406-2019</t>
        </is>
      </c>
      <c r="B136" s="1" t="n">
        <v>43670</v>
      </c>
      <c r="C136" s="1" t="n">
        <v>45789</v>
      </c>
      <c r="D136" t="inlineStr">
        <is>
          <t>KRONOBERGS LÄN</t>
        </is>
      </c>
      <c r="E136" t="inlineStr">
        <is>
          <t>VÄXJÖ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36396-2019</t>
        </is>
      </c>
      <c r="B137" s="1" t="n">
        <v>43670</v>
      </c>
      <c r="C137" s="1" t="n">
        <v>45789</v>
      </c>
      <c r="D137" t="inlineStr">
        <is>
          <t>KRONOBERGS LÄN</t>
        </is>
      </c>
      <c r="E137" t="inlineStr">
        <is>
          <t>VÄXJÖ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36431-2019</t>
        </is>
      </c>
      <c r="B138" s="1" t="n">
        <v>43670</v>
      </c>
      <c r="C138" s="1" t="n">
        <v>45789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36801-2019</t>
        </is>
      </c>
      <c r="B139" s="1" t="n">
        <v>43672</v>
      </c>
      <c r="C139" s="1" t="n">
        <v>45789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36846-2019</t>
        </is>
      </c>
      <c r="B140" s="1" t="n">
        <v>43675</v>
      </c>
      <c r="C140" s="1" t="n">
        <v>45789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36979-2019</t>
        </is>
      </c>
      <c r="B141" s="1" t="n">
        <v>43676</v>
      </c>
      <c r="C141" s="1" t="n">
        <v>45789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37619-2019</t>
        </is>
      </c>
      <c r="B142" s="1" t="n">
        <v>43681</v>
      </c>
      <c r="C142" s="1" t="n">
        <v>45789</v>
      </c>
      <c r="D142" t="inlineStr">
        <is>
          <t>KRONOBERGS LÄN</t>
        </is>
      </c>
      <c r="E142" t="inlineStr">
        <is>
          <t>VÄXJÖ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37667-2019</t>
        </is>
      </c>
      <c r="B143" s="1" t="n">
        <v>43682</v>
      </c>
      <c r="C143" s="1" t="n">
        <v>45789</v>
      </c>
      <c r="D143" t="inlineStr">
        <is>
          <t>KRONOBERGS LÄN</t>
        </is>
      </c>
      <c r="E143" t="inlineStr">
        <is>
          <t>VÄXJÖ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38193-2019</t>
        </is>
      </c>
      <c r="B144" s="1" t="n">
        <v>43684</v>
      </c>
      <c r="C144" s="1" t="n">
        <v>45789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38717-2019</t>
        </is>
      </c>
      <c r="B145" s="1" t="n">
        <v>43686</v>
      </c>
      <c r="C145" s="1" t="n">
        <v>45789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38745-2019</t>
        </is>
      </c>
      <c r="B146" s="1" t="n">
        <v>43686</v>
      </c>
      <c r="C146" s="1" t="n">
        <v>45789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38792-2019</t>
        </is>
      </c>
      <c r="B147" s="1" t="n">
        <v>43688</v>
      </c>
      <c r="C147" s="1" t="n">
        <v>45789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38802-2019</t>
        </is>
      </c>
      <c r="B148" s="1" t="n">
        <v>43688</v>
      </c>
      <c r="C148" s="1" t="n">
        <v>45789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40064-2019</t>
        </is>
      </c>
      <c r="B149" s="1" t="n">
        <v>43693</v>
      </c>
      <c r="C149" s="1" t="n">
        <v>45789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40008-2019</t>
        </is>
      </c>
      <c r="B150" s="1" t="n">
        <v>43693</v>
      </c>
      <c r="C150" s="1" t="n">
        <v>45789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40340-2019</t>
        </is>
      </c>
      <c r="B151" s="1" t="n">
        <v>43696</v>
      </c>
      <c r="C151" s="1" t="n">
        <v>45789</v>
      </c>
      <c r="D151" t="inlineStr">
        <is>
          <t>KRONOBERGS LÄN</t>
        </is>
      </c>
      <c r="E151" t="inlineStr">
        <is>
          <t>VÄXJÖ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41072-2019</t>
        </is>
      </c>
      <c r="B152" s="1" t="n">
        <v>43698</v>
      </c>
      <c r="C152" s="1" t="n">
        <v>45789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42090-2019</t>
        </is>
      </c>
      <c r="B153" s="1" t="n">
        <v>43701</v>
      </c>
      <c r="C153" s="1" t="n">
        <v>45789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42387-2019</t>
        </is>
      </c>
      <c r="B154" s="1" t="n">
        <v>43703</v>
      </c>
      <c r="C154" s="1" t="n">
        <v>45789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42391-2019</t>
        </is>
      </c>
      <c r="B155" s="1" t="n">
        <v>43703</v>
      </c>
      <c r="C155" s="1" t="n">
        <v>45789</v>
      </c>
      <c r="D155" t="inlineStr">
        <is>
          <t>KRONOBERGS LÄN</t>
        </is>
      </c>
      <c r="E155" t="inlineStr">
        <is>
          <t>VÄXJÖ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42960-2019</t>
        </is>
      </c>
      <c r="B156" s="1" t="n">
        <v>43705</v>
      </c>
      <c r="C156" s="1" t="n">
        <v>45789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44390-2019</t>
        </is>
      </c>
      <c r="B157" s="1" t="n">
        <v>43705</v>
      </c>
      <c r="C157" s="1" t="n">
        <v>45789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42944-2019</t>
        </is>
      </c>
      <c r="B158" s="1" t="n">
        <v>43705</v>
      </c>
      <c r="C158" s="1" t="n">
        <v>45789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43244-2019</t>
        </is>
      </c>
      <c r="B159" s="1" t="n">
        <v>43706</v>
      </c>
      <c r="C159" s="1" t="n">
        <v>45789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43457-2019</t>
        </is>
      </c>
      <c r="B160" s="1" t="n">
        <v>43706</v>
      </c>
      <c r="C160" s="1" t="n">
        <v>45789</v>
      </c>
      <c r="D160" t="inlineStr">
        <is>
          <t>KRONOBERGS LÄN</t>
        </is>
      </c>
      <c r="E160" t="inlineStr">
        <is>
          <t>VÄXJÖ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43456-2019</t>
        </is>
      </c>
      <c r="B161" s="1" t="n">
        <v>43706</v>
      </c>
      <c r="C161" s="1" t="n">
        <v>45789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43454-2019</t>
        </is>
      </c>
      <c r="B162" s="1" t="n">
        <v>43706</v>
      </c>
      <c r="C162" s="1" t="n">
        <v>45789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43698-2019</t>
        </is>
      </c>
      <c r="B163" s="1" t="n">
        <v>43707</v>
      </c>
      <c r="C163" s="1" t="n">
        <v>45789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43914-2019</t>
        </is>
      </c>
      <c r="B164" s="1" t="n">
        <v>43707</v>
      </c>
      <c r="C164" s="1" t="n">
        <v>45789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43876-2019</t>
        </is>
      </c>
      <c r="B165" s="1" t="n">
        <v>43707</v>
      </c>
      <c r="C165" s="1" t="n">
        <v>45789</v>
      </c>
      <c r="D165" t="inlineStr">
        <is>
          <t>KRONOBERGS LÄN</t>
        </is>
      </c>
      <c r="E165" t="inlineStr">
        <is>
          <t>VÄXJÖ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43852-2019</t>
        </is>
      </c>
      <c r="B166" s="1" t="n">
        <v>43707</v>
      </c>
      <c r="C166" s="1" t="n">
        <v>45789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43877-2019</t>
        </is>
      </c>
      <c r="B167" s="1" t="n">
        <v>43707</v>
      </c>
      <c r="C167" s="1" t="n">
        <v>45789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43964-2019</t>
        </is>
      </c>
      <c r="B168" s="1" t="n">
        <v>43708</v>
      </c>
      <c r="C168" s="1" t="n">
        <v>45789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43965-2019</t>
        </is>
      </c>
      <c r="B169" s="1" t="n">
        <v>43708</v>
      </c>
      <c r="C169" s="1" t="n">
        <v>45789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44023-2019</t>
        </is>
      </c>
      <c r="B170" s="1" t="n">
        <v>43710</v>
      </c>
      <c r="C170" s="1" t="n">
        <v>45789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44506-2019</t>
        </is>
      </c>
      <c r="B171" s="1" t="n">
        <v>43711</v>
      </c>
      <c r="C171" s="1" t="n">
        <v>45789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44444-2019</t>
        </is>
      </c>
      <c r="B172" s="1" t="n">
        <v>43711</v>
      </c>
      <c r="C172" s="1" t="n">
        <v>45789</v>
      </c>
      <c r="D172" t="inlineStr">
        <is>
          <t>KRONOBERGS LÄN</t>
        </is>
      </c>
      <c r="E172" t="inlineStr">
        <is>
          <t>VÄXJÖ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44588-2019</t>
        </is>
      </c>
      <c r="B173" s="1" t="n">
        <v>43711</v>
      </c>
      <c r="C173" s="1" t="n">
        <v>45789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44511-2019</t>
        </is>
      </c>
      <c r="B174" s="1" t="n">
        <v>43711</v>
      </c>
      <c r="C174" s="1" t="n">
        <v>45789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45279-2019</t>
        </is>
      </c>
      <c r="B175" s="1" t="n">
        <v>43714</v>
      </c>
      <c r="C175" s="1" t="n">
        <v>45789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45330-2019</t>
        </is>
      </c>
      <c r="B176" s="1" t="n">
        <v>43714</v>
      </c>
      <c r="C176" s="1" t="n">
        <v>45789</v>
      </c>
      <c r="D176" t="inlineStr">
        <is>
          <t>KRONOBERGS LÄN</t>
        </is>
      </c>
      <c r="E176" t="inlineStr">
        <is>
          <t>VÄXJÖ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45409-2019</t>
        </is>
      </c>
      <c r="B177" s="1" t="n">
        <v>43714</v>
      </c>
      <c r="C177" s="1" t="n">
        <v>45789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45559-2019</t>
        </is>
      </c>
      <c r="B178" s="1" t="n">
        <v>43715</v>
      </c>
      <c r="C178" s="1" t="n">
        <v>45789</v>
      </c>
      <c r="D178" t="inlineStr">
        <is>
          <t>KRONOBERGS LÄN</t>
        </is>
      </c>
      <c r="E178" t="inlineStr">
        <is>
          <t>VÄXJÖ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45562-2019</t>
        </is>
      </c>
      <c r="B179" s="1" t="n">
        <v>43715</v>
      </c>
      <c r="C179" s="1" t="n">
        <v>45789</v>
      </c>
      <c r="D179" t="inlineStr">
        <is>
          <t>KRONOBERGS LÄN</t>
        </is>
      </c>
      <c r="E179" t="inlineStr">
        <is>
          <t>VÄXJÖ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45760-2019</t>
        </is>
      </c>
      <c r="B180" s="1" t="n">
        <v>43717</v>
      </c>
      <c r="C180" s="1" t="n">
        <v>45789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45606-2019</t>
        </is>
      </c>
      <c r="B181" s="1" t="n">
        <v>43717</v>
      </c>
      <c r="C181" s="1" t="n">
        <v>45789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46322-2019</t>
        </is>
      </c>
      <c r="B182" s="1" t="n">
        <v>43718</v>
      </c>
      <c r="C182" s="1" t="n">
        <v>45789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45967-2019</t>
        </is>
      </c>
      <c r="B183" s="1" t="n">
        <v>43718</v>
      </c>
      <c r="C183" s="1" t="n">
        <v>45789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46410-2019</t>
        </is>
      </c>
      <c r="B184" s="1" t="n">
        <v>43719</v>
      </c>
      <c r="C184" s="1" t="n">
        <v>45789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46436-2019</t>
        </is>
      </c>
      <c r="B185" s="1" t="n">
        <v>43719</v>
      </c>
      <c r="C185" s="1" t="n">
        <v>45789</v>
      </c>
      <c r="D185" t="inlineStr">
        <is>
          <t>KRONOBERGS LÄN</t>
        </is>
      </c>
      <c r="E185" t="inlineStr">
        <is>
          <t>VÄXJÖ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46778-2019</t>
        </is>
      </c>
      <c r="B186" s="1" t="n">
        <v>43720</v>
      </c>
      <c r="C186" s="1" t="n">
        <v>45789</v>
      </c>
      <c r="D186" t="inlineStr">
        <is>
          <t>KRONOBERGS LÄN</t>
        </is>
      </c>
      <c r="E186" t="inlineStr">
        <is>
          <t>VÄXJÖ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46750-2019</t>
        </is>
      </c>
      <c r="B187" s="1" t="n">
        <v>43720</v>
      </c>
      <c r="C187" s="1" t="n">
        <v>45789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47043-2019</t>
        </is>
      </c>
      <c r="B188" s="1" t="n">
        <v>43720</v>
      </c>
      <c r="C188" s="1" t="n">
        <v>45789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47328-2019</t>
        </is>
      </c>
      <c r="B189" s="1" t="n">
        <v>43721</v>
      </c>
      <c r="C189" s="1" t="n">
        <v>45789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47376-2019</t>
        </is>
      </c>
      <c r="B190" s="1" t="n">
        <v>43721</v>
      </c>
      <c r="C190" s="1" t="n">
        <v>45789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47679-2019</t>
        </is>
      </c>
      <c r="B191" s="1" t="n">
        <v>43724</v>
      </c>
      <c r="C191" s="1" t="n">
        <v>45789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47826-2019</t>
        </is>
      </c>
      <c r="B192" s="1" t="n">
        <v>43724</v>
      </c>
      <c r="C192" s="1" t="n">
        <v>45789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47955-2019</t>
        </is>
      </c>
      <c r="B193" s="1" t="n">
        <v>43725</v>
      </c>
      <c r="C193" s="1" t="n">
        <v>45789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47853-2019</t>
        </is>
      </c>
      <c r="B194" s="1" t="n">
        <v>43725</v>
      </c>
      <c r="C194" s="1" t="n">
        <v>45789</v>
      </c>
      <c r="D194" t="inlineStr">
        <is>
          <t>KRONOBERGS LÄN</t>
        </is>
      </c>
      <c r="E194" t="inlineStr">
        <is>
          <t>VÄXJÖ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48079-2019</t>
        </is>
      </c>
      <c r="B195" s="1" t="n">
        <v>43725</v>
      </c>
      <c r="C195" s="1" t="n">
        <v>45789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48055-2019</t>
        </is>
      </c>
      <c r="B196" s="1" t="n">
        <v>43725</v>
      </c>
      <c r="C196" s="1" t="n">
        <v>45789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48442-2019</t>
        </is>
      </c>
      <c r="B197" s="1" t="n">
        <v>43727</v>
      </c>
      <c r="C197" s="1" t="n">
        <v>45789</v>
      </c>
      <c r="D197" t="inlineStr">
        <is>
          <t>KRONOBERGS LÄN</t>
        </is>
      </c>
      <c r="E197" t="inlineStr">
        <is>
          <t>VÄXJÖ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49285-2019</t>
        </is>
      </c>
      <c r="B198" s="1" t="n">
        <v>43731</v>
      </c>
      <c r="C198" s="1" t="n">
        <v>45789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49564-2019</t>
        </is>
      </c>
      <c r="B199" s="1" t="n">
        <v>43732</v>
      </c>
      <c r="C199" s="1" t="n">
        <v>45789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49566-2019</t>
        </is>
      </c>
      <c r="B200" s="1" t="n">
        <v>43732</v>
      </c>
      <c r="C200" s="1" t="n">
        <v>45789</v>
      </c>
      <c r="D200" t="inlineStr">
        <is>
          <t>KRONOBERGS LÄN</t>
        </is>
      </c>
      <c r="E200" t="inlineStr">
        <is>
          <t>VÄXJÖ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49627-2019</t>
        </is>
      </c>
      <c r="B201" s="1" t="n">
        <v>43732</v>
      </c>
      <c r="C201" s="1" t="n">
        <v>45789</v>
      </c>
      <c r="D201" t="inlineStr">
        <is>
          <t>KRONOBERGS LÄN</t>
        </is>
      </c>
      <c r="E201" t="inlineStr">
        <is>
          <t>VÄXJÖ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49843-2019</t>
        </is>
      </c>
      <c r="B202" s="1" t="n">
        <v>43733</v>
      </c>
      <c r="C202" s="1" t="n">
        <v>45789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49940-2019</t>
        </is>
      </c>
      <c r="B203" s="1" t="n">
        <v>43733</v>
      </c>
      <c r="C203" s="1" t="n">
        <v>45789</v>
      </c>
      <c r="D203" t="inlineStr">
        <is>
          <t>KRONOBERGS LÄN</t>
        </is>
      </c>
      <c r="E203" t="inlineStr">
        <is>
          <t>VÄXJÖ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49897-2019</t>
        </is>
      </c>
      <c r="B204" s="1" t="n">
        <v>43733</v>
      </c>
      <c r="C204" s="1" t="n">
        <v>45789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52805-2019</t>
        </is>
      </c>
      <c r="B205" s="1" t="n">
        <v>43739</v>
      </c>
      <c r="C205" s="1" t="n">
        <v>45789</v>
      </c>
      <c r="D205" t="inlineStr">
        <is>
          <t>KRONOBERGS LÄN</t>
        </is>
      </c>
      <c r="E205" t="inlineStr">
        <is>
          <t>VÄXJÖ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51911-2019</t>
        </is>
      </c>
      <c r="B206" s="1" t="n">
        <v>43741</v>
      </c>
      <c r="C206" s="1" t="n">
        <v>45789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51915-2019</t>
        </is>
      </c>
      <c r="B207" s="1" t="n">
        <v>43741</v>
      </c>
      <c r="C207" s="1" t="n">
        <v>45789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54033-2019</t>
        </is>
      </c>
      <c r="B208" s="1" t="n">
        <v>43745</v>
      </c>
      <c r="C208" s="1" t="n">
        <v>45789</v>
      </c>
      <c r="D208" t="inlineStr">
        <is>
          <t>KRONOBERGS LÄN</t>
        </is>
      </c>
      <c r="E208" t="inlineStr">
        <is>
          <t>VÄXJÖ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54153-2019</t>
        </is>
      </c>
      <c r="B209" s="1" t="n">
        <v>43745</v>
      </c>
      <c r="C209" s="1" t="n">
        <v>45789</v>
      </c>
      <c r="D209" t="inlineStr">
        <is>
          <t>KRONOBERGS LÄN</t>
        </is>
      </c>
      <c r="E209" t="inlineStr">
        <is>
          <t>VÄXJÖ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52822-2019</t>
        </is>
      </c>
      <c r="B210" s="1" t="n">
        <v>43746</v>
      </c>
      <c r="C210" s="1" t="n">
        <v>45789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52843-2019</t>
        </is>
      </c>
      <c r="B211" s="1" t="n">
        <v>43746</v>
      </c>
      <c r="C211" s="1" t="n">
        <v>45789</v>
      </c>
      <c r="D211" t="inlineStr">
        <is>
          <t>KRONOBERGS LÄN</t>
        </is>
      </c>
      <c r="E211" t="inlineStr">
        <is>
          <t>VÄXJÖ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53583-2019</t>
        </is>
      </c>
      <c r="B212" s="1" t="n">
        <v>43749</v>
      </c>
      <c r="C212" s="1" t="n">
        <v>45789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53566-2019</t>
        </is>
      </c>
      <c r="B213" s="1" t="n">
        <v>43749</v>
      </c>
      <c r="C213" s="1" t="n">
        <v>45789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53902-2019</t>
        </is>
      </c>
      <c r="B214" s="1" t="n">
        <v>43752</v>
      </c>
      <c r="C214" s="1" t="n">
        <v>45789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53956-2019</t>
        </is>
      </c>
      <c r="B215" s="1" t="n">
        <v>43752</v>
      </c>
      <c r="C215" s="1" t="n">
        <v>45789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53897-2019</t>
        </is>
      </c>
      <c r="B216" s="1" t="n">
        <v>43752</v>
      </c>
      <c r="C216" s="1" t="n">
        <v>45789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55044-2019</t>
        </is>
      </c>
      <c r="B217" s="1" t="n">
        <v>43756</v>
      </c>
      <c r="C217" s="1" t="n">
        <v>45789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55041-2019</t>
        </is>
      </c>
      <c r="B218" s="1" t="n">
        <v>43756</v>
      </c>
      <c r="C218" s="1" t="n">
        <v>45789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55542-2019</t>
        </is>
      </c>
      <c r="B219" s="1" t="n">
        <v>43756</v>
      </c>
      <c r="C219" s="1" t="n">
        <v>45789</v>
      </c>
      <c r="D219" t="inlineStr">
        <is>
          <t>KRONOBERGS LÄN</t>
        </is>
      </c>
      <c r="E219" t="inlineStr">
        <is>
          <t>VÄXJÖ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55429-2019</t>
        </is>
      </c>
      <c r="B220" s="1" t="n">
        <v>43756</v>
      </c>
      <c r="C220" s="1" t="n">
        <v>45789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55042-2019</t>
        </is>
      </c>
      <c r="B221" s="1" t="n">
        <v>43756</v>
      </c>
      <c r="C221" s="1" t="n">
        <v>45789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55994-2019</t>
        </is>
      </c>
      <c r="B222" s="1" t="n">
        <v>43761</v>
      </c>
      <c r="C222" s="1" t="n">
        <v>45789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56775-2019</t>
        </is>
      </c>
      <c r="B223" s="1" t="n">
        <v>43763</v>
      </c>
      <c r="C223" s="1" t="n">
        <v>45789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56771-2019</t>
        </is>
      </c>
      <c r="B224" s="1" t="n">
        <v>43763</v>
      </c>
      <c r="C224" s="1" t="n">
        <v>45789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58529-2019</t>
        </is>
      </c>
      <c r="B225" s="1" t="n">
        <v>43766</v>
      </c>
      <c r="C225" s="1" t="n">
        <v>45789</v>
      </c>
      <c r="D225" t="inlineStr">
        <is>
          <t>KRONOBERGS LÄN</t>
        </is>
      </c>
      <c r="E225" t="inlineStr">
        <is>
          <t>VÄXJÖ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57544-2019</t>
        </is>
      </c>
      <c r="B226" s="1" t="n">
        <v>43767</v>
      </c>
      <c r="C226" s="1" t="n">
        <v>45789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57383-2019</t>
        </is>
      </c>
      <c r="B227" s="1" t="n">
        <v>43767</v>
      </c>
      <c r="C227" s="1" t="n">
        <v>45789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57681-2019</t>
        </is>
      </c>
      <c r="B228" s="1" t="n">
        <v>43768</v>
      </c>
      <c r="C228" s="1" t="n">
        <v>45789</v>
      </c>
      <c r="D228" t="inlineStr">
        <is>
          <t>KRONOBERGS LÄN</t>
        </is>
      </c>
      <c r="E228" t="inlineStr">
        <is>
          <t>VÄXJÖ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58137-2019</t>
        </is>
      </c>
      <c r="B229" s="1" t="n">
        <v>43769</v>
      </c>
      <c r="C229" s="1" t="n">
        <v>45789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59666-2019</t>
        </is>
      </c>
      <c r="B230" s="1" t="n">
        <v>43776</v>
      </c>
      <c r="C230" s="1" t="n">
        <v>45789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60339-2019</t>
        </is>
      </c>
      <c r="B231" s="1" t="n">
        <v>43780</v>
      </c>
      <c r="C231" s="1" t="n">
        <v>45789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61153-2019</t>
        </is>
      </c>
      <c r="B232" s="1" t="n">
        <v>43782</v>
      </c>
      <c r="C232" s="1" t="n">
        <v>45789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61243-2019</t>
        </is>
      </c>
      <c r="B233" s="1" t="n">
        <v>43783</v>
      </c>
      <c r="C233" s="1" t="n">
        <v>45789</v>
      </c>
      <c r="D233" t="inlineStr">
        <is>
          <t>KRONOBERGS LÄN</t>
        </is>
      </c>
      <c r="E233" t="inlineStr">
        <is>
          <t>VÄXJÖ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62769-2019</t>
        </is>
      </c>
      <c r="B234" s="1" t="n">
        <v>43790</v>
      </c>
      <c r="C234" s="1" t="n">
        <v>45789</v>
      </c>
      <c r="D234" t="inlineStr">
        <is>
          <t>KRONOBERGS LÄN</t>
        </is>
      </c>
      <c r="E234" t="inlineStr">
        <is>
          <t>VÄXJÖ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62761-2019</t>
        </is>
      </c>
      <c r="B235" s="1" t="n">
        <v>43790</v>
      </c>
      <c r="C235" s="1" t="n">
        <v>45789</v>
      </c>
      <c r="D235" t="inlineStr">
        <is>
          <t>KRONOBERGS LÄN</t>
        </is>
      </c>
      <c r="E235" t="inlineStr">
        <is>
          <t>VÄXJÖ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63081-2019</t>
        </is>
      </c>
      <c r="B236" s="1" t="n">
        <v>43791</v>
      </c>
      <c r="C236" s="1" t="n">
        <v>45789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63156-2019</t>
        </is>
      </c>
      <c r="B237" s="1" t="n">
        <v>43791</v>
      </c>
      <c r="C237" s="1" t="n">
        <v>45789</v>
      </c>
      <c r="D237" t="inlineStr">
        <is>
          <t>KRONOBERGS LÄN</t>
        </is>
      </c>
      <c r="E237" t="inlineStr">
        <is>
          <t>VÄXJÖ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63814-2019</t>
        </is>
      </c>
      <c r="B238" s="1" t="n">
        <v>43795</v>
      </c>
      <c r="C238" s="1" t="n">
        <v>45789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64024-2019</t>
        </is>
      </c>
      <c r="B239" s="1" t="n">
        <v>43796</v>
      </c>
      <c r="C239" s="1" t="n">
        <v>45789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64034-2019</t>
        </is>
      </c>
      <c r="B240" s="1" t="n">
        <v>43796</v>
      </c>
      <c r="C240" s="1" t="n">
        <v>45789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64075-2019</t>
        </is>
      </c>
      <c r="B241" s="1" t="n">
        <v>43796</v>
      </c>
      <c r="C241" s="1" t="n">
        <v>45789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64202-2019</t>
        </is>
      </c>
      <c r="B242" s="1" t="n">
        <v>43797</v>
      </c>
      <c r="C242" s="1" t="n">
        <v>45789</v>
      </c>
      <c r="D242" t="inlineStr">
        <is>
          <t>KRONOBERGS LÄN</t>
        </is>
      </c>
      <c r="E242" t="inlineStr">
        <is>
          <t>VÄXJÖ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64278-2019</t>
        </is>
      </c>
      <c r="B243" s="1" t="n">
        <v>43797</v>
      </c>
      <c r="C243" s="1" t="n">
        <v>45789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64289-2019</t>
        </is>
      </c>
      <c r="B244" s="1" t="n">
        <v>43797</v>
      </c>
      <c r="C244" s="1" t="n">
        <v>45789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64378-2019</t>
        </is>
      </c>
      <c r="B245" s="1" t="n">
        <v>43797</v>
      </c>
      <c r="C245" s="1" t="n">
        <v>45789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64608-2019</t>
        </is>
      </c>
      <c r="B246" s="1" t="n">
        <v>43798</v>
      </c>
      <c r="C246" s="1" t="n">
        <v>45789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64597-2019</t>
        </is>
      </c>
      <c r="B247" s="1" t="n">
        <v>43798</v>
      </c>
      <c r="C247" s="1" t="n">
        <v>45789</v>
      </c>
      <c r="D247" t="inlineStr">
        <is>
          <t>KRONOBERGS LÄN</t>
        </is>
      </c>
      <c r="E247" t="inlineStr">
        <is>
          <t>VÄXJÖ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65171-2019</t>
        </is>
      </c>
      <c r="B248" s="1" t="n">
        <v>43802</v>
      </c>
      <c r="C248" s="1" t="n">
        <v>45789</v>
      </c>
      <c r="D248" t="inlineStr">
        <is>
          <t>KRONOBERGS LÄN</t>
        </is>
      </c>
      <c r="E248" t="inlineStr">
        <is>
          <t>VÄXJÖ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65172-2019</t>
        </is>
      </c>
      <c r="B249" s="1" t="n">
        <v>43802</v>
      </c>
      <c r="C249" s="1" t="n">
        <v>45789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65175-2019</t>
        </is>
      </c>
      <c r="B250" s="1" t="n">
        <v>43802</v>
      </c>
      <c r="C250" s="1" t="n">
        <v>45789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65173-2019</t>
        </is>
      </c>
      <c r="B251" s="1" t="n">
        <v>43802</v>
      </c>
      <c r="C251" s="1" t="n">
        <v>45789</v>
      </c>
      <c r="D251" t="inlineStr">
        <is>
          <t>KRONOBERGS LÄN</t>
        </is>
      </c>
      <c r="E251" t="inlineStr">
        <is>
          <t>VÄXJÖ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65838-2019</t>
        </is>
      </c>
      <c r="B252" s="1" t="n">
        <v>43805</v>
      </c>
      <c r="C252" s="1" t="n">
        <v>45789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65843-2019</t>
        </is>
      </c>
      <c r="B253" s="1" t="n">
        <v>43805</v>
      </c>
      <c r="C253" s="1" t="n">
        <v>45789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66994-2019</t>
        </is>
      </c>
      <c r="B254" s="1" t="n">
        <v>43805</v>
      </c>
      <c r="C254" s="1" t="n">
        <v>45789</v>
      </c>
      <c r="D254" t="inlineStr">
        <is>
          <t>KRONOBERGS LÄN</t>
        </is>
      </c>
      <c r="E254" t="inlineStr">
        <is>
          <t>VÄXJÖ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67766-2019</t>
        </is>
      </c>
      <c r="B255" s="1" t="n">
        <v>43815</v>
      </c>
      <c r="C255" s="1" t="n">
        <v>45789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67917-2019</t>
        </is>
      </c>
      <c r="B256" s="1" t="n">
        <v>43816</v>
      </c>
      <c r="C256" s="1" t="n">
        <v>45789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68160-2019</t>
        </is>
      </c>
      <c r="B257" s="1" t="n">
        <v>43817</v>
      </c>
      <c r="C257" s="1" t="n">
        <v>45789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68946-2019</t>
        </is>
      </c>
      <c r="B258" s="1" t="n">
        <v>43822</v>
      </c>
      <c r="C258" s="1" t="n">
        <v>45789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68945-2019</t>
        </is>
      </c>
      <c r="B259" s="1" t="n">
        <v>43822</v>
      </c>
      <c r="C259" s="1" t="n">
        <v>45789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459-2020</t>
        </is>
      </c>
      <c r="B260" s="1" t="n">
        <v>43837</v>
      </c>
      <c r="C260" s="1" t="n">
        <v>45789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497-2020</t>
        </is>
      </c>
      <c r="B261" s="1" t="n">
        <v>43837</v>
      </c>
      <c r="C261" s="1" t="n">
        <v>45789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456-2020</t>
        </is>
      </c>
      <c r="B262" s="1" t="n">
        <v>43837</v>
      </c>
      <c r="C262" s="1" t="n">
        <v>45789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631-2020</t>
        </is>
      </c>
      <c r="B263" s="1" t="n">
        <v>43838</v>
      </c>
      <c r="C263" s="1" t="n">
        <v>45789</v>
      </c>
      <c r="D263" t="inlineStr">
        <is>
          <t>KRONOBERGS LÄN</t>
        </is>
      </c>
      <c r="E263" t="inlineStr">
        <is>
          <t>VÄXJÖ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1064-2020</t>
        </is>
      </c>
      <c r="B264" s="1" t="n">
        <v>43839</v>
      </c>
      <c r="C264" s="1" t="n">
        <v>45789</v>
      </c>
      <c r="D264" t="inlineStr">
        <is>
          <t>KRONOBERGS LÄN</t>
        </is>
      </c>
      <c r="E264" t="inlineStr">
        <is>
          <t>VÄXJÖ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907-2020</t>
        </is>
      </c>
      <c r="B265" s="1" t="n">
        <v>43839</v>
      </c>
      <c r="C265" s="1" t="n">
        <v>45789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994-2020</t>
        </is>
      </c>
      <c r="B266" s="1" t="n">
        <v>43839</v>
      </c>
      <c r="C266" s="1" t="n">
        <v>45789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1023-2020</t>
        </is>
      </c>
      <c r="B267" s="1" t="n">
        <v>43839</v>
      </c>
      <c r="C267" s="1" t="n">
        <v>45789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1248-2020</t>
        </is>
      </c>
      <c r="B268" s="1" t="n">
        <v>43840</v>
      </c>
      <c r="C268" s="1" t="n">
        <v>45789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1599-2020</t>
        </is>
      </c>
      <c r="B269" s="1" t="n">
        <v>43844</v>
      </c>
      <c r="C269" s="1" t="n">
        <v>45789</v>
      </c>
      <c r="D269" t="inlineStr">
        <is>
          <t>KRONOBERGS LÄN</t>
        </is>
      </c>
      <c r="E269" t="inlineStr">
        <is>
          <t>VÄXJÖ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1706-2020</t>
        </is>
      </c>
      <c r="B270" s="1" t="n">
        <v>43844</v>
      </c>
      <c r="C270" s="1" t="n">
        <v>45789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1743-2020</t>
        </is>
      </c>
      <c r="B271" s="1" t="n">
        <v>43844</v>
      </c>
      <c r="C271" s="1" t="n">
        <v>45789</v>
      </c>
      <c r="D271" t="inlineStr">
        <is>
          <t>KRONOBERGS LÄN</t>
        </is>
      </c>
      <c r="E271" t="inlineStr">
        <is>
          <t>VÄXJÖ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1702-2020</t>
        </is>
      </c>
      <c r="B272" s="1" t="n">
        <v>43844</v>
      </c>
      <c r="C272" s="1" t="n">
        <v>45789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1709-2020</t>
        </is>
      </c>
      <c r="B273" s="1" t="n">
        <v>43844</v>
      </c>
      <c r="C273" s="1" t="n">
        <v>45789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1704-2020</t>
        </is>
      </c>
      <c r="B274" s="1" t="n">
        <v>43844</v>
      </c>
      <c r="C274" s="1" t="n">
        <v>45789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2325-2020</t>
        </is>
      </c>
      <c r="B275" s="1" t="n">
        <v>43846</v>
      </c>
      <c r="C275" s="1" t="n">
        <v>45789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2506-2020</t>
        </is>
      </c>
      <c r="B276" s="1" t="n">
        <v>43847</v>
      </c>
      <c r="C276" s="1" t="n">
        <v>45789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2510-2020</t>
        </is>
      </c>
      <c r="B277" s="1" t="n">
        <v>43847</v>
      </c>
      <c r="C277" s="1" t="n">
        <v>45789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2644-2020</t>
        </is>
      </c>
      <c r="B278" s="1" t="n">
        <v>43847</v>
      </c>
      <c r="C278" s="1" t="n">
        <v>45789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3056-2020</t>
        </is>
      </c>
      <c r="B279" s="1" t="n">
        <v>43851</v>
      </c>
      <c r="C279" s="1" t="n">
        <v>45789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4111-2020</t>
        </is>
      </c>
      <c r="B280" s="1" t="n">
        <v>43857</v>
      </c>
      <c r="C280" s="1" t="n">
        <v>45789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4563-2020</t>
        </is>
      </c>
      <c r="B281" s="1" t="n">
        <v>43858</v>
      </c>
      <c r="C281" s="1" t="n">
        <v>45789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5366-2020</t>
        </is>
      </c>
      <c r="B282" s="1" t="n">
        <v>43860</v>
      </c>
      <c r="C282" s="1" t="n">
        <v>45789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5655-2020</t>
        </is>
      </c>
      <c r="B283" s="1" t="n">
        <v>43861</v>
      </c>
      <c r="C283" s="1" t="n">
        <v>45789</v>
      </c>
      <c r="D283" t="inlineStr">
        <is>
          <t>KRONOBERGS LÄN</t>
        </is>
      </c>
      <c r="E283" t="inlineStr">
        <is>
          <t>VÄXJÖ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5480-2020</t>
        </is>
      </c>
      <c r="B284" s="1" t="n">
        <v>43861</v>
      </c>
      <c r="C284" s="1" t="n">
        <v>45789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5668-2020</t>
        </is>
      </c>
      <c r="B285" s="1" t="n">
        <v>43861</v>
      </c>
      <c r="C285" s="1" t="n">
        <v>45789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5621-2020</t>
        </is>
      </c>
      <c r="B286" s="1" t="n">
        <v>43861</v>
      </c>
      <c r="C286" s="1" t="n">
        <v>45789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6609-2020</t>
        </is>
      </c>
      <c r="B287" s="1" t="n">
        <v>43867</v>
      </c>
      <c r="C287" s="1" t="n">
        <v>45789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6737-2020</t>
        </is>
      </c>
      <c r="B288" s="1" t="n">
        <v>43867</v>
      </c>
      <c r="C288" s="1" t="n">
        <v>45789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6523-2020</t>
        </is>
      </c>
      <c r="B289" s="1" t="n">
        <v>43867</v>
      </c>
      <c r="C289" s="1" t="n">
        <v>45789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6726-2020</t>
        </is>
      </c>
      <c r="B290" s="1" t="n">
        <v>43867</v>
      </c>
      <c r="C290" s="1" t="n">
        <v>45789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7189-2020</t>
        </is>
      </c>
      <c r="B291" s="1" t="n">
        <v>43871</v>
      </c>
      <c r="C291" s="1" t="n">
        <v>45789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7515-2020</t>
        </is>
      </c>
      <c r="B292" s="1" t="n">
        <v>43872</v>
      </c>
      <c r="C292" s="1" t="n">
        <v>45789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7878-2020</t>
        </is>
      </c>
      <c r="B293" s="1" t="n">
        <v>43873</v>
      </c>
      <c r="C293" s="1" t="n">
        <v>45789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7976-2020</t>
        </is>
      </c>
      <c r="B294" s="1" t="n">
        <v>43873</v>
      </c>
      <c r="C294" s="1" t="n">
        <v>45789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8078-2020</t>
        </is>
      </c>
      <c r="B295" s="1" t="n">
        <v>43874</v>
      </c>
      <c r="C295" s="1" t="n">
        <v>45789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8443-2020</t>
        </is>
      </c>
      <c r="B296" s="1" t="n">
        <v>43875</v>
      </c>
      <c r="C296" s="1" t="n">
        <v>45789</v>
      </c>
      <c r="D296" t="inlineStr">
        <is>
          <t>KRONOBERGS LÄN</t>
        </is>
      </c>
      <c r="E296" t="inlineStr">
        <is>
          <t>VÄXJÖ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8792-2020</t>
        </is>
      </c>
      <c r="B297" s="1" t="n">
        <v>43878</v>
      </c>
      <c r="C297" s="1" t="n">
        <v>45789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9149-2020</t>
        </is>
      </c>
      <c r="B298" s="1" t="n">
        <v>43879</v>
      </c>
      <c r="C298" s="1" t="n">
        <v>45789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9303-2020</t>
        </is>
      </c>
      <c r="B299" s="1" t="n">
        <v>43880</v>
      </c>
      <c r="C299" s="1" t="n">
        <v>45789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9350-2020</t>
        </is>
      </c>
      <c r="B300" s="1" t="n">
        <v>43880</v>
      </c>
      <c r="C300" s="1" t="n">
        <v>45789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9614-2020</t>
        </is>
      </c>
      <c r="B301" s="1" t="n">
        <v>43881</v>
      </c>
      <c r="C301" s="1" t="n">
        <v>45789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9620-2020</t>
        </is>
      </c>
      <c r="B302" s="1" t="n">
        <v>43881</v>
      </c>
      <c r="C302" s="1" t="n">
        <v>45789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10208-2020</t>
        </is>
      </c>
      <c r="B303" s="1" t="n">
        <v>43885</v>
      </c>
      <c r="C303" s="1" t="n">
        <v>45789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10606-2020</t>
        </is>
      </c>
      <c r="B304" s="1" t="n">
        <v>43887</v>
      </c>
      <c r="C304" s="1" t="n">
        <v>45789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11706-2020</t>
        </is>
      </c>
      <c r="B305" s="1" t="n">
        <v>43894</v>
      </c>
      <c r="C305" s="1" t="n">
        <v>45789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13412-2020</t>
        </is>
      </c>
      <c r="B306" s="1" t="n">
        <v>43894</v>
      </c>
      <c r="C306" s="1" t="n">
        <v>45789</v>
      </c>
      <c r="D306" t="inlineStr">
        <is>
          <t>KRONOBERGS LÄN</t>
        </is>
      </c>
      <c r="E306" t="inlineStr">
        <is>
          <t>VÄXJÖ</t>
        </is>
      </c>
      <c r="G306" t="n">
        <v>18.9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12809-2020</t>
        </is>
      </c>
      <c r="B307" s="1" t="n">
        <v>43899</v>
      </c>
      <c r="C307" s="1" t="n">
        <v>45789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12806-2020</t>
        </is>
      </c>
      <c r="B308" s="1" t="n">
        <v>43899</v>
      </c>
      <c r="C308" s="1" t="n">
        <v>45789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12808-2020</t>
        </is>
      </c>
      <c r="B309" s="1" t="n">
        <v>43899</v>
      </c>
      <c r="C309" s="1" t="n">
        <v>45789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14192-2020</t>
        </is>
      </c>
      <c r="B310" s="1" t="n">
        <v>43899</v>
      </c>
      <c r="C310" s="1" t="n">
        <v>45789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13348-2020</t>
        </is>
      </c>
      <c r="B311" s="1" t="n">
        <v>43902</v>
      </c>
      <c r="C311" s="1" t="n">
        <v>45789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14264-2020</t>
        </is>
      </c>
      <c r="B312" s="1" t="n">
        <v>43907</v>
      </c>
      <c r="C312" s="1" t="n">
        <v>45789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15347-2020</t>
        </is>
      </c>
      <c r="B313" s="1" t="n">
        <v>43908</v>
      </c>
      <c r="C313" s="1" t="n">
        <v>45789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16602-2020</t>
        </is>
      </c>
      <c r="B314" s="1" t="n">
        <v>43909</v>
      </c>
      <c r="C314" s="1" t="n">
        <v>45789</v>
      </c>
      <c r="D314" t="inlineStr">
        <is>
          <t>KRONOBERGS LÄN</t>
        </is>
      </c>
      <c r="E314" t="inlineStr">
        <is>
          <t>VÄXJÖ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16622-2020</t>
        </is>
      </c>
      <c r="B315" s="1" t="n">
        <v>43909</v>
      </c>
      <c r="C315" s="1" t="n">
        <v>45789</v>
      </c>
      <c r="D315" t="inlineStr">
        <is>
          <t>KRONOBERGS LÄN</t>
        </is>
      </c>
      <c r="E315" t="inlineStr">
        <is>
          <t>VÄXJÖ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16598-2020</t>
        </is>
      </c>
      <c r="B316" s="1" t="n">
        <v>43909</v>
      </c>
      <c r="C316" s="1" t="n">
        <v>45789</v>
      </c>
      <c r="D316" t="inlineStr">
        <is>
          <t>KRONOBERGS LÄN</t>
        </is>
      </c>
      <c r="E316" t="inlineStr">
        <is>
          <t>VÄXJÖ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15449-2020</t>
        </is>
      </c>
      <c r="B317" s="1" t="n">
        <v>43914</v>
      </c>
      <c r="C317" s="1" t="n">
        <v>45789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15602-2020</t>
        </is>
      </c>
      <c r="B318" s="1" t="n">
        <v>43914</v>
      </c>
      <c r="C318" s="1" t="n">
        <v>45789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15718-2020</t>
        </is>
      </c>
      <c r="B319" s="1" t="n">
        <v>43915</v>
      </c>
      <c r="C319" s="1" t="n">
        <v>45789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17379-2020</t>
        </is>
      </c>
      <c r="B320" s="1" t="n">
        <v>43916</v>
      </c>
      <c r="C320" s="1" t="n">
        <v>45789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17439-2020</t>
        </is>
      </c>
      <c r="B321" s="1" t="n">
        <v>43916</v>
      </c>
      <c r="C321" s="1" t="n">
        <v>45789</v>
      </c>
      <c r="D321" t="inlineStr">
        <is>
          <t>KRONOBERGS LÄN</t>
        </is>
      </c>
      <c r="E321" t="inlineStr">
        <is>
          <t>VÄXJÖ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16735-2020</t>
        </is>
      </c>
      <c r="B322" s="1" t="n">
        <v>43920</v>
      </c>
      <c r="C322" s="1" t="n">
        <v>45789</v>
      </c>
      <c r="D322" t="inlineStr">
        <is>
          <t>KRONOBERGS LÄN</t>
        </is>
      </c>
      <c r="E322" t="inlineStr">
        <is>
          <t>VÄXJÖ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16581-2020</t>
        </is>
      </c>
      <c r="B323" s="1" t="n">
        <v>43920</v>
      </c>
      <c r="C323" s="1" t="n">
        <v>45789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16739-2020</t>
        </is>
      </c>
      <c r="B324" s="1" t="n">
        <v>43920</v>
      </c>
      <c r="C324" s="1" t="n">
        <v>45789</v>
      </c>
      <c r="D324" t="inlineStr">
        <is>
          <t>KRONOBERGS LÄN</t>
        </is>
      </c>
      <c r="E324" t="inlineStr">
        <is>
          <t>VÄXJÖ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16944-2020</t>
        </is>
      </c>
      <c r="B325" s="1" t="n">
        <v>43921</v>
      </c>
      <c r="C325" s="1" t="n">
        <v>45789</v>
      </c>
      <c r="D325" t="inlineStr">
        <is>
          <t>KRONOBERGS LÄN</t>
        </is>
      </c>
      <c r="E325" t="inlineStr">
        <is>
          <t>VÄXJÖ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18028-2020</t>
        </is>
      </c>
      <c r="B326" s="1" t="n">
        <v>43927</v>
      </c>
      <c r="C326" s="1" t="n">
        <v>45789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18522-2020</t>
        </is>
      </c>
      <c r="B327" s="1" t="n">
        <v>43929</v>
      </c>
      <c r="C327" s="1" t="n">
        <v>45789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18574-2020</t>
        </is>
      </c>
      <c r="B328" s="1" t="n">
        <v>43929</v>
      </c>
      <c r="C328" s="1" t="n">
        <v>45789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19105-2020</t>
        </is>
      </c>
      <c r="B329" s="1" t="n">
        <v>43936</v>
      </c>
      <c r="C329" s="1" t="n">
        <v>45789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19110-2020</t>
        </is>
      </c>
      <c r="B330" s="1" t="n">
        <v>43936</v>
      </c>
      <c r="C330" s="1" t="n">
        <v>45789</v>
      </c>
      <c r="D330" t="inlineStr">
        <is>
          <t>KRONOBERGS LÄN</t>
        </is>
      </c>
      <c r="E330" t="inlineStr">
        <is>
          <t>VÄXJÖ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19104-2020</t>
        </is>
      </c>
      <c r="B331" s="1" t="n">
        <v>43936</v>
      </c>
      <c r="C331" s="1" t="n">
        <v>45789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19342-2020</t>
        </is>
      </c>
      <c r="B332" s="1" t="n">
        <v>43938</v>
      </c>
      <c r="C332" s="1" t="n">
        <v>45789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19595-2020</t>
        </is>
      </c>
      <c r="B333" s="1" t="n">
        <v>43941</v>
      </c>
      <c r="C333" s="1" t="n">
        <v>45789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19586-2020</t>
        </is>
      </c>
      <c r="B334" s="1" t="n">
        <v>43941</v>
      </c>
      <c r="C334" s="1" t="n">
        <v>45789</v>
      </c>
      <c r="D334" t="inlineStr">
        <is>
          <t>KRONOBERGS LÄN</t>
        </is>
      </c>
      <c r="E334" t="inlineStr">
        <is>
          <t>VÄXJÖ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19599-2020</t>
        </is>
      </c>
      <c r="B335" s="1" t="n">
        <v>43941</v>
      </c>
      <c r="C335" s="1" t="n">
        <v>45789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19982-2020</t>
        </is>
      </c>
      <c r="B336" s="1" t="n">
        <v>43943</v>
      </c>
      <c r="C336" s="1" t="n">
        <v>45789</v>
      </c>
      <c r="D336" t="inlineStr">
        <is>
          <t>KRONOBERGS LÄN</t>
        </is>
      </c>
      <c r="E336" t="inlineStr">
        <is>
          <t>VÄXJÖ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20591-2020</t>
        </is>
      </c>
      <c r="B337" s="1" t="n">
        <v>43948</v>
      </c>
      <c r="C337" s="1" t="n">
        <v>45789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20679-2020</t>
        </is>
      </c>
      <c r="B338" s="1" t="n">
        <v>43949</v>
      </c>
      <c r="C338" s="1" t="n">
        <v>45789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20846-2020</t>
        </is>
      </c>
      <c r="B339" s="1" t="n">
        <v>43950</v>
      </c>
      <c r="C339" s="1" t="n">
        <v>45789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22537-2020</t>
        </is>
      </c>
      <c r="B340" s="1" t="n">
        <v>43963</v>
      </c>
      <c r="C340" s="1" t="n">
        <v>45789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22535-2020</t>
        </is>
      </c>
      <c r="B341" s="1" t="n">
        <v>43963</v>
      </c>
      <c r="C341" s="1" t="n">
        <v>45789</v>
      </c>
      <c r="D341" t="inlineStr">
        <is>
          <t>KRONOBERGS LÄN</t>
        </is>
      </c>
      <c r="E341" t="inlineStr">
        <is>
          <t>VÄXJÖ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22862-2020</t>
        </is>
      </c>
      <c r="B342" s="1" t="n">
        <v>43964</v>
      </c>
      <c r="C342" s="1" t="n">
        <v>45789</v>
      </c>
      <c r="D342" t="inlineStr">
        <is>
          <t>KRONOBERGS LÄN</t>
        </is>
      </c>
      <c r="E342" t="inlineStr">
        <is>
          <t>VÄXJÖ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23798-2020</t>
        </is>
      </c>
      <c r="B343" s="1" t="n">
        <v>43970</v>
      </c>
      <c r="C343" s="1" t="n">
        <v>45789</v>
      </c>
      <c r="D343" t="inlineStr">
        <is>
          <t>KRONOBERGS LÄN</t>
        </is>
      </c>
      <c r="E343" t="inlineStr">
        <is>
          <t>VÄXJÖ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23781-2020</t>
        </is>
      </c>
      <c r="B344" s="1" t="n">
        <v>43970</v>
      </c>
      <c r="C344" s="1" t="n">
        <v>45789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23982-2020</t>
        </is>
      </c>
      <c r="B345" s="1" t="n">
        <v>43971</v>
      </c>
      <c r="C345" s="1" t="n">
        <v>45789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24471-2020</t>
        </is>
      </c>
      <c r="B346" s="1" t="n">
        <v>43976</v>
      </c>
      <c r="C346" s="1" t="n">
        <v>45789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24581-2020</t>
        </is>
      </c>
      <c r="B347" s="1" t="n">
        <v>43977</v>
      </c>
      <c r="C347" s="1" t="n">
        <v>45789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24977-2020</t>
        </is>
      </c>
      <c r="B348" s="1" t="n">
        <v>43979</v>
      </c>
      <c r="C348" s="1" t="n">
        <v>45789</v>
      </c>
      <c r="D348" t="inlineStr">
        <is>
          <t>KRONOBERGS LÄN</t>
        </is>
      </c>
      <c r="E348" t="inlineStr">
        <is>
          <t>VÄXJÖ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25351-2020</t>
        </is>
      </c>
      <c r="B349" s="1" t="n">
        <v>43980</v>
      </c>
      <c r="C349" s="1" t="n">
        <v>45789</v>
      </c>
      <c r="D349" t="inlineStr">
        <is>
          <t>KRONOBERGS LÄN</t>
        </is>
      </c>
      <c r="E349" t="inlineStr">
        <is>
          <t>VÄXJÖ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25510-2020</t>
        </is>
      </c>
      <c r="B350" s="1" t="n">
        <v>43983</v>
      </c>
      <c r="C350" s="1" t="n">
        <v>45789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25507-2020</t>
        </is>
      </c>
      <c r="B351" s="1" t="n">
        <v>43983</v>
      </c>
      <c r="C351" s="1" t="n">
        <v>45789</v>
      </c>
      <c r="D351" t="inlineStr">
        <is>
          <t>KRONOBERGS LÄN</t>
        </is>
      </c>
      <c r="E351" t="inlineStr">
        <is>
          <t>VÄXJÖ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25767-2020</t>
        </is>
      </c>
      <c r="B352" s="1" t="n">
        <v>43984</v>
      </c>
      <c r="C352" s="1" t="n">
        <v>45789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26208-2020</t>
        </is>
      </c>
      <c r="B353" s="1" t="n">
        <v>43986</v>
      </c>
      <c r="C353" s="1" t="n">
        <v>45789</v>
      </c>
      <c r="D353" t="inlineStr">
        <is>
          <t>KRONOBERGS LÄN</t>
        </is>
      </c>
      <c r="E353" t="inlineStr">
        <is>
          <t>VÄXJÖ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26360-2020</t>
        </is>
      </c>
      <c r="B354" s="1" t="n">
        <v>43986</v>
      </c>
      <c r="C354" s="1" t="n">
        <v>45789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26497-2020</t>
        </is>
      </c>
      <c r="B355" s="1" t="n">
        <v>43987</v>
      </c>
      <c r="C355" s="1" t="n">
        <v>45789</v>
      </c>
      <c r="D355" t="inlineStr">
        <is>
          <t>KRONOBERGS LÄN</t>
        </is>
      </c>
      <c r="E355" t="inlineStr">
        <is>
          <t>VÄXJÖ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26851-2020</t>
        </is>
      </c>
      <c r="B356" s="1" t="n">
        <v>43990</v>
      </c>
      <c r="C356" s="1" t="n">
        <v>45789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26845-2020</t>
        </is>
      </c>
      <c r="B357" s="1" t="n">
        <v>43990</v>
      </c>
      <c r="C357" s="1" t="n">
        <v>45789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27349-2020</t>
        </is>
      </c>
      <c r="B358" s="1" t="n">
        <v>43992</v>
      </c>
      <c r="C358" s="1" t="n">
        <v>45789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27367-2020</t>
        </is>
      </c>
      <c r="B359" s="1" t="n">
        <v>43992</v>
      </c>
      <c r="C359" s="1" t="n">
        <v>45789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27221-2020</t>
        </is>
      </c>
      <c r="B360" s="1" t="n">
        <v>43992</v>
      </c>
      <c r="C360" s="1" t="n">
        <v>45789</v>
      </c>
      <c r="D360" t="inlineStr">
        <is>
          <t>KRONOBERGS LÄN</t>
        </is>
      </c>
      <c r="E360" t="inlineStr">
        <is>
          <t>VÄXJÖ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27856-2020</t>
        </is>
      </c>
      <c r="B361" s="1" t="n">
        <v>43994</v>
      </c>
      <c r="C361" s="1" t="n">
        <v>45789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28150-2020</t>
        </is>
      </c>
      <c r="B362" s="1" t="n">
        <v>43997</v>
      </c>
      <c r="C362" s="1" t="n">
        <v>45789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30246-2020</t>
        </is>
      </c>
      <c r="B363" s="1" t="n">
        <v>44007</v>
      </c>
      <c r="C363" s="1" t="n">
        <v>45789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31495-2020</t>
        </is>
      </c>
      <c r="B364" s="1" t="n">
        <v>44013</v>
      </c>
      <c r="C364" s="1" t="n">
        <v>45789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32686-2020</t>
        </is>
      </c>
      <c r="B365" s="1" t="n">
        <v>44019</v>
      </c>
      <c r="C365" s="1" t="n">
        <v>45789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32856-2020</t>
        </is>
      </c>
      <c r="B366" s="1" t="n">
        <v>44020</v>
      </c>
      <c r="C366" s="1" t="n">
        <v>45789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32926-2020</t>
        </is>
      </c>
      <c r="B367" s="1" t="n">
        <v>44020</v>
      </c>
      <c r="C367" s="1" t="n">
        <v>45789</v>
      </c>
      <c r="D367" t="inlineStr">
        <is>
          <t>KRONOBERGS LÄN</t>
        </is>
      </c>
      <c r="E367" t="inlineStr">
        <is>
          <t>VÄXJÖ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33525-2020</t>
        </is>
      </c>
      <c r="B368" s="1" t="n">
        <v>44025</v>
      </c>
      <c r="C368" s="1" t="n">
        <v>45789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33549-2020</t>
        </is>
      </c>
      <c r="B369" s="1" t="n">
        <v>44025</v>
      </c>
      <c r="C369" s="1" t="n">
        <v>45789</v>
      </c>
      <c r="D369" t="inlineStr">
        <is>
          <t>KRONOBERGS LÄN</t>
        </is>
      </c>
      <c r="E369" t="inlineStr">
        <is>
          <t>VÄXJÖ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33522-2020</t>
        </is>
      </c>
      <c r="B370" s="1" t="n">
        <v>44025</v>
      </c>
      <c r="C370" s="1" t="n">
        <v>45789</v>
      </c>
      <c r="D370" t="inlineStr">
        <is>
          <t>KRONOBERGS LÄN</t>
        </is>
      </c>
      <c r="E370" t="inlineStr">
        <is>
          <t>VÄXJÖ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33829-2020</t>
        </is>
      </c>
      <c r="B371" s="1" t="n">
        <v>44027</v>
      </c>
      <c r="C371" s="1" t="n">
        <v>45789</v>
      </c>
      <c r="D371" t="inlineStr">
        <is>
          <t>KRONOBERGS LÄN</t>
        </is>
      </c>
      <c r="E371" t="inlineStr">
        <is>
          <t>VÄXJÖ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34326-2020</t>
        </is>
      </c>
      <c r="B372" s="1" t="n">
        <v>44028</v>
      </c>
      <c r="C372" s="1" t="n">
        <v>45789</v>
      </c>
      <c r="D372" t="inlineStr">
        <is>
          <t>KRONOBERGS LÄN</t>
        </is>
      </c>
      <c r="E372" t="inlineStr">
        <is>
          <t>VÄXJÖ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35236-2020</t>
        </is>
      </c>
      <c r="B373" s="1" t="n">
        <v>44041</v>
      </c>
      <c r="C373" s="1" t="n">
        <v>45789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35947-2020</t>
        </is>
      </c>
      <c r="B374" s="1" t="n">
        <v>44047</v>
      </c>
      <c r="C374" s="1" t="n">
        <v>45789</v>
      </c>
      <c r="D374" t="inlineStr">
        <is>
          <t>KRONOBERGS LÄN</t>
        </is>
      </c>
      <c r="E374" t="inlineStr">
        <is>
          <t>VÄXJÖ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36263-2020</t>
        </is>
      </c>
      <c r="B375" s="1" t="n">
        <v>44048</v>
      </c>
      <c r="C375" s="1" t="n">
        <v>45789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36125-2020</t>
        </is>
      </c>
      <c r="B376" s="1" t="n">
        <v>44048</v>
      </c>
      <c r="C376" s="1" t="n">
        <v>45789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36420-2020</t>
        </is>
      </c>
      <c r="B377" s="1" t="n">
        <v>44049</v>
      </c>
      <c r="C377" s="1" t="n">
        <v>45789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statliga verk och myndigheter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36246-2020</t>
        </is>
      </c>
      <c r="B378" s="1" t="n">
        <v>44049</v>
      </c>
      <c r="C378" s="1" t="n">
        <v>45789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37306-2020</t>
        </is>
      </c>
      <c r="B379" s="1" t="n">
        <v>44055</v>
      </c>
      <c r="C379" s="1" t="n">
        <v>45789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38430-2020</t>
        </is>
      </c>
      <c r="B380" s="1" t="n">
        <v>44060</v>
      </c>
      <c r="C380" s="1" t="n">
        <v>45789</v>
      </c>
      <c r="D380" t="inlineStr">
        <is>
          <t>KRONOBERGS LÄN</t>
        </is>
      </c>
      <c r="E380" t="inlineStr">
        <is>
          <t>VÄXJÖ</t>
        </is>
      </c>
      <c r="F380" t="inlineStr">
        <is>
          <t>Övriga Aktiebolag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38616-2020</t>
        </is>
      </c>
      <c r="B381" s="1" t="n">
        <v>44061</v>
      </c>
      <c r="C381" s="1" t="n">
        <v>45789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39254-2020</t>
        </is>
      </c>
      <c r="B382" s="1" t="n">
        <v>44063</v>
      </c>
      <c r="C382" s="1" t="n">
        <v>45789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39366-2020</t>
        </is>
      </c>
      <c r="B383" s="1" t="n">
        <v>44064</v>
      </c>
      <c r="C383" s="1" t="n">
        <v>45789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39951-2020</t>
        </is>
      </c>
      <c r="B384" s="1" t="n">
        <v>44067</v>
      </c>
      <c r="C384" s="1" t="n">
        <v>45789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40145-2020</t>
        </is>
      </c>
      <c r="B385" s="1" t="n">
        <v>44068</v>
      </c>
      <c r="C385" s="1" t="n">
        <v>45789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40334-2020</t>
        </is>
      </c>
      <c r="B386" s="1" t="n">
        <v>44068</v>
      </c>
      <c r="C386" s="1" t="n">
        <v>45789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40533-2020</t>
        </is>
      </c>
      <c r="B387" s="1" t="n">
        <v>44069</v>
      </c>
      <c r="C387" s="1" t="n">
        <v>45789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41487-2020</t>
        </is>
      </c>
      <c r="B388" s="1" t="n">
        <v>44074</v>
      </c>
      <c r="C388" s="1" t="n">
        <v>45789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41854-2020</t>
        </is>
      </c>
      <c r="B389" s="1" t="n">
        <v>44074</v>
      </c>
      <c r="C389" s="1" t="n">
        <v>45789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42185-2020</t>
        </is>
      </c>
      <c r="B390" s="1" t="n">
        <v>44075</v>
      </c>
      <c r="C390" s="1" t="n">
        <v>45789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42191-2020</t>
        </is>
      </c>
      <c r="B391" s="1" t="n">
        <v>44075</v>
      </c>
      <c r="C391" s="1" t="n">
        <v>45789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42189-2020</t>
        </is>
      </c>
      <c r="B392" s="1" t="n">
        <v>44075</v>
      </c>
      <c r="C392" s="1" t="n">
        <v>45789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43772-2020</t>
        </is>
      </c>
      <c r="B393" s="1" t="n">
        <v>44082</v>
      </c>
      <c r="C393" s="1" t="n">
        <v>45789</v>
      </c>
      <c r="D393" t="inlineStr">
        <is>
          <t>KRONOBERGS LÄN</t>
        </is>
      </c>
      <c r="E393" t="inlineStr">
        <is>
          <t>VÄXJÖ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44362-2020</t>
        </is>
      </c>
      <c r="B394" s="1" t="n">
        <v>44084</v>
      </c>
      <c r="C394" s="1" t="n">
        <v>45789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44355-2020</t>
        </is>
      </c>
      <c r="B395" s="1" t="n">
        <v>44084</v>
      </c>
      <c r="C395" s="1" t="n">
        <v>45789</v>
      </c>
      <c r="D395" t="inlineStr">
        <is>
          <t>KRONOBERGS LÄN</t>
        </is>
      </c>
      <c r="E395" t="inlineStr">
        <is>
          <t>VÄXJÖ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44774-2020</t>
        </is>
      </c>
      <c r="B396" s="1" t="n">
        <v>44085</v>
      </c>
      <c r="C396" s="1" t="n">
        <v>45789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45113-2020</t>
        </is>
      </c>
      <c r="B397" s="1" t="n">
        <v>44088</v>
      </c>
      <c r="C397" s="1" t="n">
        <v>45789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45669-2020</t>
        </is>
      </c>
      <c r="B398" s="1" t="n">
        <v>44090</v>
      </c>
      <c r="C398" s="1" t="n">
        <v>45789</v>
      </c>
      <c r="D398" t="inlineStr">
        <is>
          <t>KRONOBERGS LÄN</t>
        </is>
      </c>
      <c r="E398" t="inlineStr">
        <is>
          <t>VÄXJÖ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45597-2020</t>
        </is>
      </c>
      <c r="B399" s="1" t="n">
        <v>44090</v>
      </c>
      <c r="C399" s="1" t="n">
        <v>45789</v>
      </c>
      <c r="D399" t="inlineStr">
        <is>
          <t>KRONOBERGS LÄN</t>
        </is>
      </c>
      <c r="E399" t="inlineStr">
        <is>
          <t>VÄXJÖ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46477-2020</t>
        </is>
      </c>
      <c r="B400" s="1" t="n">
        <v>44095</v>
      </c>
      <c r="C400" s="1" t="n">
        <v>45789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46853-2020</t>
        </is>
      </c>
      <c r="B401" s="1" t="n">
        <v>44096</v>
      </c>
      <c r="C401" s="1" t="n">
        <v>45789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48631-2020</t>
        </is>
      </c>
      <c r="B402" s="1" t="n">
        <v>44098</v>
      </c>
      <c r="C402" s="1" t="n">
        <v>45789</v>
      </c>
      <c r="D402" t="inlineStr">
        <is>
          <t>KRONOBERGS LÄN</t>
        </is>
      </c>
      <c r="E402" t="inlineStr">
        <is>
          <t>VÄXJÖ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48641-2020</t>
        </is>
      </c>
      <c r="B403" s="1" t="n">
        <v>44098</v>
      </c>
      <c r="C403" s="1" t="n">
        <v>45789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48413-2020</t>
        </is>
      </c>
      <c r="B404" s="1" t="n">
        <v>44102</v>
      </c>
      <c r="C404" s="1" t="n">
        <v>45789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48431-2020</t>
        </is>
      </c>
      <c r="B405" s="1" t="n">
        <v>44102</v>
      </c>
      <c r="C405" s="1" t="n">
        <v>45789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48430-2020</t>
        </is>
      </c>
      <c r="B406" s="1" t="n">
        <v>44102</v>
      </c>
      <c r="C406" s="1" t="n">
        <v>45789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48442-2020</t>
        </is>
      </c>
      <c r="B407" s="1" t="n">
        <v>44102</v>
      </c>
      <c r="C407" s="1" t="n">
        <v>45789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48996-2020</t>
        </is>
      </c>
      <c r="B408" s="1" t="n">
        <v>44104</v>
      </c>
      <c r="C408" s="1" t="n">
        <v>45789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49299-2020</t>
        </is>
      </c>
      <c r="B409" s="1" t="n">
        <v>44105</v>
      </c>
      <c r="C409" s="1" t="n">
        <v>45789</v>
      </c>
      <c r="D409" t="inlineStr">
        <is>
          <t>KRONOBERGS LÄN</t>
        </is>
      </c>
      <c r="E409" t="inlineStr">
        <is>
          <t>VÄXJÖ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49268-2020</t>
        </is>
      </c>
      <c r="B410" s="1" t="n">
        <v>44105</v>
      </c>
      <c r="C410" s="1" t="n">
        <v>45789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49308-2020</t>
        </is>
      </c>
      <c r="B411" s="1" t="n">
        <v>44105</v>
      </c>
      <c r="C411" s="1" t="n">
        <v>45789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49473-2020</t>
        </is>
      </c>
      <c r="B412" s="1" t="n">
        <v>44105</v>
      </c>
      <c r="C412" s="1" t="n">
        <v>45789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49476-2020</t>
        </is>
      </c>
      <c r="B413" s="1" t="n">
        <v>44105</v>
      </c>
      <c r="C413" s="1" t="n">
        <v>45789</v>
      </c>
      <c r="D413" t="inlineStr">
        <is>
          <t>KRONOBERGS LÄN</t>
        </is>
      </c>
      <c r="E413" t="inlineStr">
        <is>
          <t>VÄXJÖ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49787-2020</t>
        </is>
      </c>
      <c r="B414" s="1" t="n">
        <v>44106</v>
      </c>
      <c r="C414" s="1" t="n">
        <v>45789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49890-2020</t>
        </is>
      </c>
      <c r="B415" s="1" t="n">
        <v>44108</v>
      </c>
      <c r="C415" s="1" t="n">
        <v>45789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50337-2020</t>
        </is>
      </c>
      <c r="B416" s="1" t="n">
        <v>44110</v>
      </c>
      <c r="C416" s="1" t="n">
        <v>45789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51834-2020</t>
        </is>
      </c>
      <c r="B417" s="1" t="n">
        <v>44116</v>
      </c>
      <c r="C417" s="1" t="n">
        <v>45789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52381-2020</t>
        </is>
      </c>
      <c r="B418" s="1" t="n">
        <v>44118</v>
      </c>
      <c r="C418" s="1" t="n">
        <v>45789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52562-2020</t>
        </is>
      </c>
      <c r="B419" s="1" t="n">
        <v>44118</v>
      </c>
      <c r="C419" s="1" t="n">
        <v>45789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52781-2020</t>
        </is>
      </c>
      <c r="B420" s="1" t="n">
        <v>44119</v>
      </c>
      <c r="C420" s="1" t="n">
        <v>45789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53376-2020</t>
        </is>
      </c>
      <c r="B421" s="1" t="n">
        <v>44123</v>
      </c>
      <c r="C421" s="1" t="n">
        <v>45789</v>
      </c>
      <c r="D421" t="inlineStr">
        <is>
          <t>KRONOBERGS LÄN</t>
        </is>
      </c>
      <c r="E421" t="inlineStr">
        <is>
          <t>VÄXJÖ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53972-2020</t>
        </is>
      </c>
      <c r="B422" s="1" t="n">
        <v>44125</v>
      </c>
      <c r="C422" s="1" t="n">
        <v>45789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53980-2020</t>
        </is>
      </c>
      <c r="B423" s="1" t="n">
        <v>44125</v>
      </c>
      <c r="C423" s="1" t="n">
        <v>45789</v>
      </c>
      <c r="D423" t="inlineStr">
        <is>
          <t>KRONOBERGS LÄN</t>
        </is>
      </c>
      <c r="E423" t="inlineStr">
        <is>
          <t>VÄXJÖ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53941-2020</t>
        </is>
      </c>
      <c r="B424" s="1" t="n">
        <v>44125</v>
      </c>
      <c r="C424" s="1" t="n">
        <v>45789</v>
      </c>
      <c r="D424" t="inlineStr">
        <is>
          <t>KRONOBERGS LÄN</t>
        </is>
      </c>
      <c r="E424" t="inlineStr">
        <is>
          <t>VÄXJÖ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54791-2020</t>
        </is>
      </c>
      <c r="B425" s="1" t="n">
        <v>44127</v>
      </c>
      <c r="C425" s="1" t="n">
        <v>45789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54799-2020</t>
        </is>
      </c>
      <c r="B426" s="1" t="n">
        <v>44127</v>
      </c>
      <c r="C426" s="1" t="n">
        <v>45789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54787-2020</t>
        </is>
      </c>
      <c r="B427" s="1" t="n">
        <v>44127</v>
      </c>
      <c r="C427" s="1" t="n">
        <v>45789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54798-2020</t>
        </is>
      </c>
      <c r="B428" s="1" t="n">
        <v>44127</v>
      </c>
      <c r="C428" s="1" t="n">
        <v>45789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55794-2020</t>
        </is>
      </c>
      <c r="B429" s="1" t="n">
        <v>44132</v>
      </c>
      <c r="C429" s="1" t="n">
        <v>45789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56958-2020</t>
        </is>
      </c>
      <c r="B430" s="1" t="n">
        <v>44138</v>
      </c>
      <c r="C430" s="1" t="n">
        <v>45789</v>
      </c>
      <c r="D430" t="inlineStr">
        <is>
          <t>KRONOBERGS LÄN</t>
        </is>
      </c>
      <c r="E430" t="inlineStr">
        <is>
          <t>VÄXJÖ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57493-2020</t>
        </is>
      </c>
      <c r="B431" s="1" t="n">
        <v>44140</v>
      </c>
      <c r="C431" s="1" t="n">
        <v>45789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57490-2020</t>
        </is>
      </c>
      <c r="B432" s="1" t="n">
        <v>44140</v>
      </c>
      <c r="C432" s="1" t="n">
        <v>45789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58259-2020</t>
        </is>
      </c>
      <c r="B433" s="1" t="n">
        <v>44144</v>
      </c>
      <c r="C433" s="1" t="n">
        <v>45789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58264-2020</t>
        </is>
      </c>
      <c r="B434" s="1" t="n">
        <v>44144</v>
      </c>
      <c r="C434" s="1" t="n">
        <v>45789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58440-2020</t>
        </is>
      </c>
      <c r="B435" s="1" t="n">
        <v>44145</v>
      </c>
      <c r="C435" s="1" t="n">
        <v>45789</v>
      </c>
      <c r="D435" t="inlineStr">
        <is>
          <t>KRONOBERGS LÄN</t>
        </is>
      </c>
      <c r="E435" t="inlineStr">
        <is>
          <t>VÄXJÖ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60108-2020</t>
        </is>
      </c>
      <c r="B436" s="1" t="n">
        <v>44152</v>
      </c>
      <c r="C436" s="1" t="n">
        <v>45789</v>
      </c>
      <c r="D436" t="inlineStr">
        <is>
          <t>KRONOBERGS LÄN</t>
        </is>
      </c>
      <c r="E436" t="inlineStr">
        <is>
          <t>VÄXJÖ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61620-2020</t>
        </is>
      </c>
      <c r="B437" s="1" t="n">
        <v>44158</v>
      </c>
      <c r="C437" s="1" t="n">
        <v>45789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61885-2020</t>
        </is>
      </c>
      <c r="B438" s="1" t="n">
        <v>44159</v>
      </c>
      <c r="C438" s="1" t="n">
        <v>45789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61899-2020</t>
        </is>
      </c>
      <c r="B439" s="1" t="n">
        <v>44159</v>
      </c>
      <c r="C439" s="1" t="n">
        <v>45789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62722-2020</t>
        </is>
      </c>
      <c r="B440" s="1" t="n">
        <v>44161</v>
      </c>
      <c r="C440" s="1" t="n">
        <v>45789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63517-2020</t>
        </is>
      </c>
      <c r="B441" s="1" t="n">
        <v>44161</v>
      </c>
      <c r="C441" s="1" t="n">
        <v>45789</v>
      </c>
      <c r="D441" t="inlineStr">
        <is>
          <t>KRONOBERGS LÄN</t>
        </is>
      </c>
      <c r="E441" t="inlineStr">
        <is>
          <t>VÄXJÖ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63873-2020</t>
        </is>
      </c>
      <c r="B442" s="1" t="n">
        <v>44166</v>
      </c>
      <c r="C442" s="1" t="n">
        <v>45789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64125-2020</t>
        </is>
      </c>
      <c r="B443" s="1" t="n">
        <v>44167</v>
      </c>
      <c r="C443" s="1" t="n">
        <v>45789</v>
      </c>
      <c r="D443" t="inlineStr">
        <is>
          <t>KRONOBERGS LÄN</t>
        </is>
      </c>
      <c r="E443" t="inlineStr">
        <is>
          <t>VÄXJÖ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64572-2020</t>
        </is>
      </c>
      <c r="B444" s="1" t="n">
        <v>44168</v>
      </c>
      <c r="C444" s="1" t="n">
        <v>45789</v>
      </c>
      <c r="D444" t="inlineStr">
        <is>
          <t>KRONOBERGS LÄN</t>
        </is>
      </c>
      <c r="E444" t="inlineStr">
        <is>
          <t>VÄXJÖ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64752-2020</t>
        </is>
      </c>
      <c r="B445" s="1" t="n">
        <v>44169</v>
      </c>
      <c r="C445" s="1" t="n">
        <v>45789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64743-2020</t>
        </is>
      </c>
      <c r="B446" s="1" t="n">
        <v>44169</v>
      </c>
      <c r="C446" s="1" t="n">
        <v>45789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65191-2020</t>
        </is>
      </c>
      <c r="B447" s="1" t="n">
        <v>44172</v>
      </c>
      <c r="C447" s="1" t="n">
        <v>45789</v>
      </c>
      <c r="D447" t="inlineStr">
        <is>
          <t>KRONOBERGS LÄN</t>
        </is>
      </c>
      <c r="E447" t="inlineStr">
        <is>
          <t>VÄXJÖ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65249-2020</t>
        </is>
      </c>
      <c r="B448" s="1" t="n">
        <v>44172</v>
      </c>
      <c r="C448" s="1" t="n">
        <v>45789</v>
      </c>
      <c r="D448" t="inlineStr">
        <is>
          <t>KRONOBERGS LÄN</t>
        </is>
      </c>
      <c r="E448" t="inlineStr">
        <is>
          <t>VÄXJÖ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65251-2020</t>
        </is>
      </c>
      <c r="B449" s="1" t="n">
        <v>44172</v>
      </c>
      <c r="C449" s="1" t="n">
        <v>45789</v>
      </c>
      <c r="D449" t="inlineStr">
        <is>
          <t>KRONOBERGS LÄN</t>
        </is>
      </c>
      <c r="E449" t="inlineStr">
        <is>
          <t>VÄXJÖ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65238-2020</t>
        </is>
      </c>
      <c r="B450" s="1" t="n">
        <v>44172</v>
      </c>
      <c r="C450" s="1" t="n">
        <v>45789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65388-2020</t>
        </is>
      </c>
      <c r="B451" s="1" t="n">
        <v>44173</v>
      </c>
      <c r="C451" s="1" t="n">
        <v>45789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65664-2020</t>
        </is>
      </c>
      <c r="B452" s="1" t="n">
        <v>44174</v>
      </c>
      <c r="C452" s="1" t="n">
        <v>45789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65937-2020</t>
        </is>
      </c>
      <c r="B453" s="1" t="n">
        <v>44175</v>
      </c>
      <c r="C453" s="1" t="n">
        <v>45789</v>
      </c>
      <c r="D453" t="inlineStr">
        <is>
          <t>KRONOBERGS LÄN</t>
        </is>
      </c>
      <c r="E453" t="inlineStr">
        <is>
          <t>VÄXJÖ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66023-2020</t>
        </is>
      </c>
      <c r="B454" s="1" t="n">
        <v>44175</v>
      </c>
      <c r="C454" s="1" t="n">
        <v>45789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67169-2020</t>
        </is>
      </c>
      <c r="B455" s="1" t="n">
        <v>44180</v>
      </c>
      <c r="C455" s="1" t="n">
        <v>45789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67181-2020</t>
        </is>
      </c>
      <c r="B456" s="1" t="n">
        <v>44180</v>
      </c>
      <c r="C456" s="1" t="n">
        <v>45789</v>
      </c>
      <c r="D456" t="inlineStr">
        <is>
          <t>KRONOBERGS LÄN</t>
        </is>
      </c>
      <c r="E456" t="inlineStr">
        <is>
          <t>VÄXJÖ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67214-2020</t>
        </is>
      </c>
      <c r="B457" s="1" t="n">
        <v>44180</v>
      </c>
      <c r="C457" s="1" t="n">
        <v>45789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67228-2020</t>
        </is>
      </c>
      <c r="B458" s="1" t="n">
        <v>44180</v>
      </c>
      <c r="C458" s="1" t="n">
        <v>45789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67310-2020</t>
        </is>
      </c>
      <c r="B459" s="1" t="n">
        <v>44181</v>
      </c>
      <c r="C459" s="1" t="n">
        <v>45789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67311-2020</t>
        </is>
      </c>
      <c r="B460" s="1" t="n">
        <v>44181</v>
      </c>
      <c r="C460" s="1" t="n">
        <v>45789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68208-2020</t>
        </is>
      </c>
      <c r="B461" s="1" t="n">
        <v>44183</v>
      </c>
      <c r="C461" s="1" t="n">
        <v>45789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45789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69396-2020</t>
        </is>
      </c>
      <c r="B463" s="1" t="n">
        <v>44193</v>
      </c>
      <c r="C463" s="1" t="n">
        <v>45789</v>
      </c>
      <c r="D463" t="inlineStr">
        <is>
          <t>KRONOBERGS LÄN</t>
        </is>
      </c>
      <c r="E463" t="inlineStr">
        <is>
          <t>VÄXJÖ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69400-2020</t>
        </is>
      </c>
      <c r="B464" s="1" t="n">
        <v>44193</v>
      </c>
      <c r="C464" s="1" t="n">
        <v>45789</v>
      </c>
      <c r="D464" t="inlineStr">
        <is>
          <t>KRONOBERGS LÄN</t>
        </is>
      </c>
      <c r="E464" t="inlineStr">
        <is>
          <t>VÄXJÖ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69521-2020</t>
        </is>
      </c>
      <c r="B465" s="1" t="n">
        <v>44194</v>
      </c>
      <c r="C465" s="1" t="n">
        <v>45789</v>
      </c>
      <c r="D465" t="inlineStr">
        <is>
          <t>KRONOBERGS LÄN</t>
        </is>
      </c>
      <c r="E465" t="inlineStr">
        <is>
          <t>VÄXJÖ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69518-2020</t>
        </is>
      </c>
      <c r="B466" s="1" t="n">
        <v>44194</v>
      </c>
      <c r="C466" s="1" t="n">
        <v>45789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69524-2020</t>
        </is>
      </c>
      <c r="B467" s="1" t="n">
        <v>44194</v>
      </c>
      <c r="C467" s="1" t="n">
        <v>45789</v>
      </c>
      <c r="D467" t="inlineStr">
        <is>
          <t>KRONOBERGS LÄN</t>
        </is>
      </c>
      <c r="E467" t="inlineStr">
        <is>
          <t>VÄXJÖ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69652-2020</t>
        </is>
      </c>
      <c r="B468" s="1" t="n">
        <v>44195</v>
      </c>
      <c r="C468" s="1" t="n">
        <v>45789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431-2021</t>
        </is>
      </c>
      <c r="B469" s="1" t="n">
        <v>44201</v>
      </c>
      <c r="C469" s="1" t="n">
        <v>45789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422-2021</t>
        </is>
      </c>
      <c r="B470" s="1" t="n">
        <v>44201</v>
      </c>
      <c r="C470" s="1" t="n">
        <v>45789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851-2021</t>
        </is>
      </c>
      <c r="B471" s="1" t="n">
        <v>44204</v>
      </c>
      <c r="C471" s="1" t="n">
        <v>45789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914-2021</t>
        </is>
      </c>
      <c r="B472" s="1" t="n">
        <v>44207</v>
      </c>
      <c r="C472" s="1" t="n">
        <v>45789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1099-2021</t>
        </is>
      </c>
      <c r="B473" s="1" t="n">
        <v>44207</v>
      </c>
      <c r="C473" s="1" t="n">
        <v>45789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1163-2021</t>
        </is>
      </c>
      <c r="B474" s="1" t="n">
        <v>44207</v>
      </c>
      <c r="C474" s="1" t="n">
        <v>45789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1663-2021</t>
        </is>
      </c>
      <c r="B475" s="1" t="n">
        <v>44209</v>
      </c>
      <c r="C475" s="1" t="n">
        <v>45789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1576-2021</t>
        </is>
      </c>
      <c r="B476" s="1" t="n">
        <v>44209</v>
      </c>
      <c r="C476" s="1" t="n">
        <v>45789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1668-2021</t>
        </is>
      </c>
      <c r="B477" s="1" t="n">
        <v>44209</v>
      </c>
      <c r="C477" s="1" t="n">
        <v>45789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1952-2021</t>
        </is>
      </c>
      <c r="B478" s="1" t="n">
        <v>44210</v>
      </c>
      <c r="C478" s="1" t="n">
        <v>45789</v>
      </c>
      <c r="D478" t="inlineStr">
        <is>
          <t>KRONOBERGS LÄN</t>
        </is>
      </c>
      <c r="E478" t="inlineStr">
        <is>
          <t>VÄXJÖ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1972-2021</t>
        </is>
      </c>
      <c r="B479" s="1" t="n">
        <v>44210</v>
      </c>
      <c r="C479" s="1" t="n">
        <v>45789</v>
      </c>
      <c r="D479" t="inlineStr">
        <is>
          <t>KRONOBERGS LÄN</t>
        </is>
      </c>
      <c r="E479" t="inlineStr">
        <is>
          <t>VÄXJÖ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2255-2021</t>
        </is>
      </c>
      <c r="B480" s="1" t="n">
        <v>44211</v>
      </c>
      <c r="C480" s="1" t="n">
        <v>45789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2459-2021</t>
        </is>
      </c>
      <c r="B481" s="1" t="n">
        <v>44214</v>
      </c>
      <c r="C481" s="1" t="n">
        <v>45789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2895-2021</t>
        </is>
      </c>
      <c r="B482" s="1" t="n">
        <v>44216</v>
      </c>
      <c r="C482" s="1" t="n">
        <v>45789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2898-2021</t>
        </is>
      </c>
      <c r="B483" s="1" t="n">
        <v>44216</v>
      </c>
      <c r="C483" s="1" t="n">
        <v>45789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4144-2021</t>
        </is>
      </c>
      <c r="B484" s="1" t="n">
        <v>44223</v>
      </c>
      <c r="C484" s="1" t="n">
        <v>45789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4403-2021</t>
        </is>
      </c>
      <c r="B485" s="1" t="n">
        <v>44223</v>
      </c>
      <c r="C485" s="1" t="n">
        <v>45789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4402-2021</t>
        </is>
      </c>
      <c r="B486" s="1" t="n">
        <v>44223</v>
      </c>
      <c r="C486" s="1" t="n">
        <v>45789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4482-2021</t>
        </is>
      </c>
      <c r="B487" s="1" t="n">
        <v>44224</v>
      </c>
      <c r="C487" s="1" t="n">
        <v>45789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4645-2021</t>
        </is>
      </c>
      <c r="B488" s="1" t="n">
        <v>44224</v>
      </c>
      <c r="C488" s="1" t="n">
        <v>45789</v>
      </c>
      <c r="D488" t="inlineStr">
        <is>
          <t>KRONOBERGS LÄN</t>
        </is>
      </c>
      <c r="E488" t="inlineStr">
        <is>
          <t>VÄXJÖ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4655-2021</t>
        </is>
      </c>
      <c r="B489" s="1" t="n">
        <v>44224</v>
      </c>
      <c r="C489" s="1" t="n">
        <v>45789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4665-2021</t>
        </is>
      </c>
      <c r="B490" s="1" t="n">
        <v>44224</v>
      </c>
      <c r="C490" s="1" t="n">
        <v>45789</v>
      </c>
      <c r="D490" t="inlineStr">
        <is>
          <t>KRONOBERGS LÄN</t>
        </is>
      </c>
      <c r="E490" t="inlineStr">
        <is>
          <t>VÄXJÖ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4649-2021</t>
        </is>
      </c>
      <c r="B491" s="1" t="n">
        <v>44224</v>
      </c>
      <c r="C491" s="1" t="n">
        <v>45789</v>
      </c>
      <c r="D491" t="inlineStr">
        <is>
          <t>KRONOBERGS LÄN</t>
        </is>
      </c>
      <c r="E491" t="inlineStr">
        <is>
          <t>VÄXJÖ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4666-2021</t>
        </is>
      </c>
      <c r="B492" s="1" t="n">
        <v>44224</v>
      </c>
      <c r="C492" s="1" t="n">
        <v>45789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4668-2021</t>
        </is>
      </c>
      <c r="B493" s="1" t="n">
        <v>44224</v>
      </c>
      <c r="C493" s="1" t="n">
        <v>45789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4670-2021</t>
        </is>
      </c>
      <c r="B494" s="1" t="n">
        <v>44224</v>
      </c>
      <c r="C494" s="1" t="n">
        <v>45789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4667-2021</t>
        </is>
      </c>
      <c r="B495" s="1" t="n">
        <v>44224</v>
      </c>
      <c r="C495" s="1" t="n">
        <v>45789</v>
      </c>
      <c r="D495" t="inlineStr">
        <is>
          <t>KRONOBERGS LÄN</t>
        </is>
      </c>
      <c r="E495" t="inlineStr">
        <is>
          <t>VÄXJÖ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4980-2021</t>
        </is>
      </c>
      <c r="B496" s="1" t="n">
        <v>44228</v>
      </c>
      <c r="C496" s="1" t="n">
        <v>45789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5409-2021</t>
        </is>
      </c>
      <c r="B497" s="1" t="n">
        <v>44228</v>
      </c>
      <c r="C497" s="1" t="n">
        <v>45789</v>
      </c>
      <c r="D497" t="inlineStr">
        <is>
          <t>KRONOBERGS LÄN</t>
        </is>
      </c>
      <c r="E497" t="inlineStr">
        <is>
          <t>VÄXJÖ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5403-2021</t>
        </is>
      </c>
      <c r="B498" s="1" t="n">
        <v>44229</v>
      </c>
      <c r="C498" s="1" t="n">
        <v>45789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5677-2021</t>
        </is>
      </c>
      <c r="B499" s="1" t="n">
        <v>44230</v>
      </c>
      <c r="C499" s="1" t="n">
        <v>45789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5690-2021</t>
        </is>
      </c>
      <c r="B500" s="1" t="n">
        <v>44230</v>
      </c>
      <c r="C500" s="1" t="n">
        <v>45789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5846-2021</t>
        </is>
      </c>
      <c r="B501" s="1" t="n">
        <v>44231</v>
      </c>
      <c r="C501" s="1" t="n">
        <v>45789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5866-2021</t>
        </is>
      </c>
      <c r="B502" s="1" t="n">
        <v>44231</v>
      </c>
      <c r="C502" s="1" t="n">
        <v>45789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5831-2021</t>
        </is>
      </c>
      <c r="B503" s="1" t="n">
        <v>44231</v>
      </c>
      <c r="C503" s="1" t="n">
        <v>45789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45789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45789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45789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45789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45789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45789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45789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45789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45789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45789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45789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45789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45789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45789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45789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45789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45789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45789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45789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45789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45789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45789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45789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45789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45789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45789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45789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45789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45789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45789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45789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45789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45789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45789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45789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45789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45789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45789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45789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45789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45789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45789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45789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45789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45789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45789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45789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45789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45789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45789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45789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45789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45789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45789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45789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45789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45789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45789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45789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45789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45789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45789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45789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45789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45789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45789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45789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45789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45789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45789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45789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45789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45789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45789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45789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45789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45789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45789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45789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45789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45789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45789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45789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45789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45789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45789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45789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45789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45789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45789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45789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45789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45789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45789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45789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45789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45789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45789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45789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45789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45789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45789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45789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45789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45789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45789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45789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45789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45789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45789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45789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45789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45789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45789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45789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45789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45789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45789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45789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45789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45789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45789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45789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45789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45789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45789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45789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45789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45789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45789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45789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45789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45789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45789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45789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45789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45789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45789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45789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45789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45789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45789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45789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45789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45789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45789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45789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45789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45789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45789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45789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45789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45789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45789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45789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45789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45789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45789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45789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45789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45789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45789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45789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45789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45789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45789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45789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45789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45789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45789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45789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45789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45789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45789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45789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45789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45789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45789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45789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45789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45789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45789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45789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45789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45789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45789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45789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45789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45789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45789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45789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45789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45789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45789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45789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45789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45789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45789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45789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45789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45789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45789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45789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45789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45789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45789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45789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45789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45789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45789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45789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45789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45789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45789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45789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45789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45789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45789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45789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45789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45789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45789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45789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45789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45789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45789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45789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45789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45789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45789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45789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45789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45789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45789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45789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45789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45789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45789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45789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45789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45789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45789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45789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45789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45789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45789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45789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45789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45789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45789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45789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45789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45789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45789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45789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45789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45789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45789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45789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45789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45789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45789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45789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45789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45789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45789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45789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45789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45789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45789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45789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45789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45789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45789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45789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45789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45789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45789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45789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45789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45789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45789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45789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45789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45789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45789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45789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45789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45789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45789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45789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45789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45789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45789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45789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45789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45789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45789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45789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45789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45789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45789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45789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45789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45789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45789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45789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45789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45789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45789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45789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45789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45789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45789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45789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45789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45789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45789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45789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45789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45789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45789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45789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45789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45789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45789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45789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45789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45789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45789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45789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45789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45789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45789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45789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45789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45789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45789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45789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45789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45789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45789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45789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45789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45789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45789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45789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45789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45789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45789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45789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45789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45789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45789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45789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45789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45789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45789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45789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45789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45789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45789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45789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45789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45789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45789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45789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45789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45789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45789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45789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45789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45789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45789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45789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45789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45789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45789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45789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45789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45789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45789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45789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45789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45789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45789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45789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45789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45789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45789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45789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45789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45789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45789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45789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45789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45789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45789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45789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45789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45789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45789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45789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45789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45789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45789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45789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45789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45789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45789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45789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45789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45789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45789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45789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45789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45789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45789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45789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45789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45789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45789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45789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45789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45789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45789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45789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45789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45789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45789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45789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45789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45789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45789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45789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45789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45789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45789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45789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45789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45789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45789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45789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45789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45789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45789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45789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45789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45789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45789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45789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45789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45789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45789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45789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45789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45789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45789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45789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45789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45789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45789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45789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45789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45789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45789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45789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45789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45789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45789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45789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45789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45789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45789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45789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45789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45789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45789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45789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45789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45789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45789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45789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45789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45789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45789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45789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45789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45789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45789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45789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45789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45789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45789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45789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45789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45789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45789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45789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45789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45789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45789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45789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45789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45789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45789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45789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45789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45789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45789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45789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45789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45789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45789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45789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45789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45789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45789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45789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45789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45789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45789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45789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45789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45789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45789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45789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45789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45789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45789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45789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45789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45789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45789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45789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45789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45789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45789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45789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45789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45789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45789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45789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45789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45789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45789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45789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45789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45789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45789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45789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45789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45789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45789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45789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45789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45789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45789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45789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45789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45789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45789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45789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45789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45789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45789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45789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45789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45789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45789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45789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45789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45789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45789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45789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45789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45789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45789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45789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45789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45789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45789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45789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45789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45789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45789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45789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45789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45789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45789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45789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45789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45789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45789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45789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45789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45789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45789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45789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45789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45789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45789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45789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45789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45789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45789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45789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45789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45789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45789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45789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45789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45789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45789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45789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45789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45789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45789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45789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45789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45789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45789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45789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45789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45789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45789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45789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45789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45789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45789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45789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45789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45789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45789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45789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45789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45789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45789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45789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45789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45789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45789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45789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45789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45789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45789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45789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45789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45789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45789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45789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45789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45789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45789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45789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45789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45789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45789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45789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45789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45789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45789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45789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45789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45789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45789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45789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45789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45789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45789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45789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45789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45789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45789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45789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45789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45789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45789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45789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45789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45789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45789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45789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45789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45789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45789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45789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45789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45789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45789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45789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45789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45789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45789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45789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45789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45789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45789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45789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45789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45789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45789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45789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45789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45789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45789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45789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45789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45789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45789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45789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45789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45789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45789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45789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45789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45789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45789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45789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45789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45789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45789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45789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45789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45789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45789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45789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45789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45789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45789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45789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45789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45789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45789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45789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45789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45789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45789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45789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45789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45789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45789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45789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45789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45789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45789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45789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45789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45789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45789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45789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45789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45789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45789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45789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45789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45789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45789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45789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45789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45789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45789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45789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45789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45789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45789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45789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45789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45789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45789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45789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45789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45789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45789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45789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45789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45789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45789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45789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45789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45789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45789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45789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45789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45789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45789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45789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45789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45789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45789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45789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45789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45789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45789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45789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45789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45789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45789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45789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45789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45789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45789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45789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45789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45789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45789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45789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45789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45789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45789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45789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45789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45789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45789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45789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45789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45789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45789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45789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45789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45789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45789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45789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45789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45789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45789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45789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45789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45789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45789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45789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45789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45789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45789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45789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45789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45789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45789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45789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45789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45789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45789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45789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45789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45789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45789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45789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45789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45789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45789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45789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45789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45789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45789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45789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45789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45789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45789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45789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45789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45789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45789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45789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45789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45789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45789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45789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45789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45789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45789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45789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45789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45789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45789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45789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45789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45789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45789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45789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45789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45789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45789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45789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45789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45789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45789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45789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45789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45789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45789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45789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45789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45789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45789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45789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45789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45789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45789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45789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45789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45789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45789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45789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45789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45789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45789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45789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45789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45789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45789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45789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45789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45789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45789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45789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45789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45789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45789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45789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45789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45789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45789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45789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45789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45789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45789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45789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45789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45789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45789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45789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45789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45789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45789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45789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45789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45789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45789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45789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45789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45789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45789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45789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45789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45789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45789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45789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45789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45789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45789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45789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45789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45789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45789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45789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45789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45789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45789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45789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45789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45789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45789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45789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45789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45789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45789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45789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45789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45789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45789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45789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45789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45789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45789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45789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45789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45789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45789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45789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45789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45789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45789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45789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45789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45789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45789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45789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45789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45789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45789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45789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45789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45789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45789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45789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45789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45789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45789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45789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45789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45789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45789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45789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45789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45789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45789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45789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45789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45789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45789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45789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45789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45789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45789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45789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45789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45789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45789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45789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45789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45789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45789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45789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45789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45789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45789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45789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45789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45789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45789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45789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45789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45789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45789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45789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45789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45789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45789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45789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45789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45789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45789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45789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45789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45789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45789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45789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45789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45789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45789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45789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45789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45789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45789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45789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45789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45789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45789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45789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45789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45789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45789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45789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45789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45789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45789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45789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45789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45789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45789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45789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45789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45789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45789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45789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45789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45789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45789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45789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45789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45789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45789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45789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45789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45789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45789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45789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45789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45789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45789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45789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45789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45789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45789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45789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45789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45789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45789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45789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45789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45789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45789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45789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45789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45789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45789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45789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45789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45789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45789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45789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45789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45789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45789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45789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45789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45789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45789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45789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45789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45789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45789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45789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45789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45789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45789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45789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45789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45789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45789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45789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45789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45789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45789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45789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45789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45789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45789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45789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45789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45789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45789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45789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45789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45789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45789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45789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45789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45789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45789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45789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45789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45789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45789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45789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45789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45789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45789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45789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45789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45789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45789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45789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45789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45789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45789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45789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45789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45789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45789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45789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45789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45789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45789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45789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45789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45789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45789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45789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45789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45789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45789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45789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45789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45789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45789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45789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45789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45789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45789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45789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45789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45789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45789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45789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45789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45789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45789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45789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45789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45789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45789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45789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45789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45789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45789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45789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45789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45789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45789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45789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45789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45789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45789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45789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45789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45789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45789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45789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45789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45789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45789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45789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45789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45789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45789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45789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45789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45789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45789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45789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45789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45789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45789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45789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45789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45789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45789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45789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45789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45789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45789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45789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45789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45789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45789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45789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45789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45789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45789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45789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45789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45789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45789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45789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45789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45789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45789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45789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45789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45789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45789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45789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45789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45789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45789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45789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45789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45789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45789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45789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45789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45789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45789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45789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45789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45789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45789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45789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45789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45789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45789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45789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45789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45789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45789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45789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45789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45789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45789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45789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45789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45789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45789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45789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45789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45789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45789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45789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45789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45789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45789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45789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45789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45789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45789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45789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45789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45789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45789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45789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45789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45789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45789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45789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45789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45789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45789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45789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45789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45789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45789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45789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45789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45789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45789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45789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45789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45789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45789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45789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45789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45789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45789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45789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45789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45789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45789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45789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45789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45789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45789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45789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45789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45789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45789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45789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45789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45789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45789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45789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45789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45789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45789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45789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45789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45789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45789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45789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45789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45789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45789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45789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45789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45789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45789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45789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45789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45789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45789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45789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45789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45789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45789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45789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45789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45789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45789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45789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45789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45789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45789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45789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45789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45789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45789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45789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45789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45789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45789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45789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45789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45789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45789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45789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45789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45789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45789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45789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45789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45789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45789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45789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45789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45789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45789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45789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45789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45789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45789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45789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45789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45789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45789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45789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45789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45789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45789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45789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45789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45789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45789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45789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45789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45789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45789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45789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45789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45789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45789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45789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45789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45789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45789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45789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45789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45789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45789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45789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45789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45789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45789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18364-2025</t>
        </is>
      </c>
      <c r="B1946" s="1" t="n">
        <v>45762</v>
      </c>
      <c r="C1946" s="1" t="n">
        <v>45789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18376-2025</t>
        </is>
      </c>
      <c r="B1947" s="1" t="n">
        <v>45762</v>
      </c>
      <c r="C1947" s="1" t="n">
        <v>45789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18367-2025</t>
        </is>
      </c>
      <c r="B1948" s="1" t="n">
        <v>45762</v>
      </c>
      <c r="C1948" s="1" t="n">
        <v>45789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18450-2025</t>
        </is>
      </c>
      <c r="B1949" s="1" t="n">
        <v>45762</v>
      </c>
      <c r="C1949" s="1" t="n">
        <v>45789</v>
      </c>
      <c r="D1949" t="inlineStr">
        <is>
          <t>KRONOBERGS LÄN</t>
        </is>
      </c>
      <c r="E1949" t="inlineStr">
        <is>
          <t>VÄXJÖ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45789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45789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18379-2025</t>
        </is>
      </c>
      <c r="B1952" s="1" t="n">
        <v>45762</v>
      </c>
      <c r="C1952" s="1" t="n">
        <v>45789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45789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45789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45789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19006-2025</t>
        </is>
      </c>
      <c r="B1956" s="1" t="n">
        <v>45764</v>
      </c>
      <c r="C1956" s="1" t="n">
        <v>45789</v>
      </c>
      <c r="D1956" t="inlineStr">
        <is>
          <t>KRONOBERGS LÄN</t>
        </is>
      </c>
      <c r="E1956" t="inlineStr">
        <is>
          <t>VÄXJÖ</t>
        </is>
      </c>
      <c r="G1956" t="n">
        <v>7.8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19001-2025</t>
        </is>
      </c>
      <c r="B1957" s="1" t="n">
        <v>45764</v>
      </c>
      <c r="C1957" s="1" t="n">
        <v>45789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18996-2025</t>
        </is>
      </c>
      <c r="B1958" s="1" t="n">
        <v>45764</v>
      </c>
      <c r="C1958" s="1" t="n">
        <v>45789</v>
      </c>
      <c r="D1958" t="inlineStr">
        <is>
          <t>KRONOBERGS LÄN</t>
        </is>
      </c>
      <c r="E1958" t="inlineStr">
        <is>
          <t>VÄXJÖ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45789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45789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45789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45789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19152-2025</t>
        </is>
      </c>
      <c r="B1963" s="1" t="n">
        <v>45769</v>
      </c>
      <c r="C1963" s="1" t="n">
        <v>45789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19349-2025</t>
        </is>
      </c>
      <c r="B1964" s="1" t="n">
        <v>45769</v>
      </c>
      <c r="C1964" s="1" t="n">
        <v>45789</v>
      </c>
      <c r="D1964" t="inlineStr">
        <is>
          <t>KRONOBERGS LÄN</t>
        </is>
      </c>
      <c r="E1964" t="inlineStr">
        <is>
          <t>VÄXJÖ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45789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45789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45789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45789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45789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45789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45789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45789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45789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21300-2025</t>
        </is>
      </c>
      <c r="B1974" s="1" t="n">
        <v>45780</v>
      </c>
      <c r="C1974" s="1" t="n">
        <v>45789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21303-2025</t>
        </is>
      </c>
      <c r="B1975" s="1" t="n">
        <v>45780</v>
      </c>
      <c r="C1975" s="1" t="n">
        <v>45789</v>
      </c>
      <c r="D1975" t="inlineStr">
        <is>
          <t>KRONOBERGS LÄN</t>
        </is>
      </c>
      <c r="E1975" t="inlineStr">
        <is>
          <t>VÄXJÖ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21297-2025</t>
        </is>
      </c>
      <c r="B1976" s="1" t="n">
        <v>45780</v>
      </c>
      <c r="C1976" s="1" t="n">
        <v>45789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21301-2025</t>
        </is>
      </c>
      <c r="B1977" s="1" t="n">
        <v>45780</v>
      </c>
      <c r="C1977" s="1" t="n">
        <v>45789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21298-2025</t>
        </is>
      </c>
      <c r="B1978" s="1" t="n">
        <v>45780</v>
      </c>
      <c r="C1978" s="1" t="n">
        <v>45789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45789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21515-2025</t>
        </is>
      </c>
      <c r="B1980" s="1" t="n">
        <v>45782</v>
      </c>
      <c r="C1980" s="1" t="n">
        <v>45789</v>
      </c>
      <c r="D1980" t="inlineStr">
        <is>
          <t>KRONOBERGS LÄN</t>
        </is>
      </c>
      <c r="E1980" t="inlineStr">
        <is>
          <t>VÄXJÖ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45789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45789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45789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45789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45789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45789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45789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45789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45789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22533-2025</t>
        </is>
      </c>
      <c r="B1990" s="1" t="n">
        <v>45787</v>
      </c>
      <c r="C1990" s="1" t="n">
        <v>45789</v>
      </c>
      <c r="D1990" t="inlineStr">
        <is>
          <t>KRONOBERGS LÄN</t>
        </is>
      </c>
      <c r="E1990" t="inlineStr">
        <is>
          <t>VÄXJÖ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22534-2025</t>
        </is>
      </c>
      <c r="B1991" s="1" t="n">
        <v>45787</v>
      </c>
      <c r="C1991" s="1" t="n">
        <v>45789</v>
      </c>
      <c r="D1991" t="inlineStr">
        <is>
          <t>KRONOBERGS LÄN</t>
        </is>
      </c>
      <c r="E1991" t="inlineStr">
        <is>
          <t>VÄXJÖ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>
      <c r="A1992" t="inlineStr">
        <is>
          <t>A 22535-2025</t>
        </is>
      </c>
      <c r="B1992" s="1" t="n">
        <v>45787</v>
      </c>
      <c r="C1992" s="1" t="n">
        <v>45789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2025-05-12T17:33:36Z</dcterms:created>
  <dcterms:modified xmlns:dcterms="http://purl.org/dc/terms/" xmlns:xsi="http://www.w3.org/2001/XMLSchema-instance" xsi:type="dcterms:W3CDTF">2025-05-12T17:33:37Z</dcterms:modified>
</cp:coreProperties>
</file>