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45791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45791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45791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45791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45791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45791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45791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45791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45791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45791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45791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45791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45791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45791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45791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45791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45791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45791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45791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45791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45791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45791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45791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22545-2025</t>
        </is>
      </c>
      <c r="B25" s="1" t="n">
        <v>45788</v>
      </c>
      <c r="C25" s="1" t="n">
        <v>45791</v>
      </c>
      <c r="D25" t="inlineStr">
        <is>
          <t>KRONOBERGS LÄN</t>
        </is>
      </c>
      <c r="E25" t="inlineStr">
        <is>
          <t>VÄXJÖ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Thomsons trägnagare
Vågbandad barkbock</t>
        </is>
      </c>
      <c r="S25">
        <f>HYPERLINK("https://klasma.github.io/Logging_070780/artfynd/A 22545-2025 artfynd.xlsx", "A 22545-2025")</f>
        <v/>
      </c>
      <c r="T25">
        <f>HYPERLINK("https://klasma.github.io/Logging_070780/kartor/A 22545-2025 karta.png", "A 22545-2025")</f>
        <v/>
      </c>
      <c r="V25">
        <f>HYPERLINK("https://klasma.github.io/Logging_070780/klagomål/A 22545-2025 FSC-klagomål.docx", "A 22545-2025")</f>
        <v/>
      </c>
      <c r="W25">
        <f>HYPERLINK("https://klasma.github.io/Logging_070780/klagomålsmail/A 22545-2025 FSC-klagomål mail.docx", "A 22545-2025")</f>
        <v/>
      </c>
      <c r="X25">
        <f>HYPERLINK("https://klasma.github.io/Logging_070780/tillsyn/A 22545-2025 tillsynsbegäran.docx", "A 22545-2025")</f>
        <v/>
      </c>
      <c r="Y25">
        <f>HYPERLINK("https://klasma.github.io/Logging_070780/tillsynsmail/A 22545-2025 tillsynsbegäran mail.docx", "A 22545-2025")</f>
        <v/>
      </c>
    </row>
    <row r="26" ht="15" customHeight="1">
      <c r="A26" t="inlineStr">
        <is>
          <t>A 32517-2019</t>
        </is>
      </c>
      <c r="B26" s="1" t="n">
        <v>43646</v>
      </c>
      <c r="C26" s="1" t="n">
        <v>45791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HYPERLINK("https://klasma.github.io/Logging_0780/artfynd/A 32517-2019 artfynd.xlsx", "A 32517-2019")</f>
        <v/>
      </c>
      <c r="T26">
        <f>HYPERLINK("https://klasma.github.io/Logging_0780/kartor/A 32517-2019 karta.png", "A 32517-2019")</f>
        <v/>
      </c>
      <c r="V26">
        <f>HYPERLINK("https://klasma.github.io/Logging_0780/klagomål/A 32517-2019 FSC-klagomål.docx", "A 32517-2019")</f>
        <v/>
      </c>
      <c r="W26">
        <f>HYPERLINK("https://klasma.github.io/Logging_0780/klagomålsmail/A 32517-2019 FSC-klagomål mail.docx", "A 32517-2019")</f>
        <v/>
      </c>
      <c r="X26">
        <f>HYPERLINK("https://klasma.github.io/Logging_0780/tillsyn/A 32517-2019 tillsynsbegäran.docx", "A 32517-2019")</f>
        <v/>
      </c>
      <c r="Y26">
        <f>HYPERLINK("https://klasma.github.io/Logging_0780/tillsynsmail/A 32517-2019 tillsynsbegäran mail.docx", "A 32517-2019")</f>
        <v/>
      </c>
    </row>
    <row r="27" ht="15" customHeight="1">
      <c r="A27" t="inlineStr">
        <is>
          <t>A 41158-2019</t>
        </is>
      </c>
      <c r="B27" s="1" t="n">
        <v>43698</v>
      </c>
      <c r="C27" s="1" t="n">
        <v>45791</v>
      </c>
      <c r="D27" t="inlineStr">
        <is>
          <t>KRONOBERGS LÄN</t>
        </is>
      </c>
      <c r="E27" t="inlineStr">
        <is>
          <t>VÄXJÖ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41158-2019 artfynd.xlsx", "A 41158-2019")</f>
        <v/>
      </c>
      <c r="T27">
        <f>HYPERLINK("https://klasma.github.io/Logging_0780/kartor/A 41158-2019 karta.png", "A 41158-2019")</f>
        <v/>
      </c>
      <c r="U27">
        <f>HYPERLINK("https://klasma.github.io/Logging_0780/knärot/A 41158-2019 karta knärot.png", "A 41158-2019")</f>
        <v/>
      </c>
      <c r="V27">
        <f>HYPERLINK("https://klasma.github.io/Logging_0780/klagomål/A 41158-2019 FSC-klagomål.docx", "A 41158-2019")</f>
        <v/>
      </c>
      <c r="W27">
        <f>HYPERLINK("https://klasma.github.io/Logging_0780/klagomålsmail/A 41158-2019 FSC-klagomål mail.docx", "A 41158-2019")</f>
        <v/>
      </c>
      <c r="X27">
        <f>HYPERLINK("https://klasma.github.io/Logging_0780/tillsyn/A 41158-2019 tillsynsbegäran.docx", "A 41158-2019")</f>
        <v/>
      </c>
      <c r="Y27">
        <f>HYPERLINK("https://klasma.github.io/Logging_0780/tillsynsmail/A 41158-2019 tillsynsbegäran mail.docx", "A 41158-2019")</f>
        <v/>
      </c>
    </row>
    <row r="28" ht="15" customHeight="1">
      <c r="A28" t="inlineStr">
        <is>
          <t>A 16615-2020</t>
        </is>
      </c>
      <c r="B28" s="1" t="n">
        <v>43909</v>
      </c>
      <c r="C28" s="1" t="n">
        <v>45791</v>
      </c>
      <c r="D28" t="inlineStr">
        <is>
          <t>KRONOBERGS LÄN</t>
        </is>
      </c>
      <c r="E28" t="inlineStr">
        <is>
          <t>VÄXJÖ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Nordfladdermus</t>
        </is>
      </c>
      <c r="S28">
        <f>HYPERLINK("https://klasma.github.io/Logging_0780/artfynd/A 16615-2020 artfynd.xlsx", "A 16615-2020")</f>
        <v/>
      </c>
      <c r="T28">
        <f>HYPERLINK("https://klasma.github.io/Logging_0780/kartor/A 16615-2020 karta.png", "A 16615-2020")</f>
        <v/>
      </c>
      <c r="V28">
        <f>HYPERLINK("https://klasma.github.io/Logging_0780/klagomål/A 16615-2020 FSC-klagomål.docx", "A 16615-2020")</f>
        <v/>
      </c>
      <c r="W28">
        <f>HYPERLINK("https://klasma.github.io/Logging_0780/klagomålsmail/A 16615-2020 FSC-klagomål mail.docx", "A 16615-2020")</f>
        <v/>
      </c>
      <c r="X28">
        <f>HYPERLINK("https://klasma.github.io/Logging_0780/tillsyn/A 16615-2020 tillsynsbegäran.docx", "A 16615-2020")</f>
        <v/>
      </c>
      <c r="Y28">
        <f>HYPERLINK("https://klasma.github.io/Logging_0780/tillsynsmail/A 16615-2020 tillsynsbegäran mail.docx", "A 16615-2020")</f>
        <v/>
      </c>
    </row>
    <row r="29" ht="15" customHeight="1">
      <c r="A29" t="inlineStr">
        <is>
          <t>A 62695-2020</t>
        </is>
      </c>
      <c r="B29" s="1" t="n">
        <v>44161</v>
      </c>
      <c r="C29" s="1" t="n">
        <v>45791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62695-2020 artfynd.xlsx", "A 62695-2020")</f>
        <v/>
      </c>
      <c r="T29">
        <f>HYPERLINK("https://klasma.github.io/Logging_0780/kartor/A 62695-2020 karta.png", "A 62695-2020")</f>
        <v/>
      </c>
      <c r="V29">
        <f>HYPERLINK("https://klasma.github.io/Logging_0780/klagomål/A 62695-2020 FSC-klagomål.docx", "A 62695-2020")</f>
        <v/>
      </c>
      <c r="W29">
        <f>HYPERLINK("https://klasma.github.io/Logging_0780/klagomålsmail/A 62695-2020 FSC-klagomål mail.docx", "A 62695-2020")</f>
        <v/>
      </c>
      <c r="X29">
        <f>HYPERLINK("https://klasma.github.io/Logging_0780/tillsyn/A 62695-2020 tillsynsbegäran.docx", "A 62695-2020")</f>
        <v/>
      </c>
      <c r="Y29">
        <f>HYPERLINK("https://klasma.github.io/Logging_0780/tillsynsmail/A 62695-2020 tillsynsbegäran mail.docx", "A 62695-2020")</f>
        <v/>
      </c>
    </row>
    <row r="30" ht="15" customHeight="1">
      <c r="A30" t="inlineStr">
        <is>
          <t>A 69178-2020</t>
        </is>
      </c>
      <c r="B30" s="1" t="n">
        <v>44189</v>
      </c>
      <c r="C30" s="1" t="n">
        <v>45791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Sävsparv</t>
        </is>
      </c>
      <c r="S30">
        <f>HYPERLINK("https://klasma.github.io/Logging_0780/artfynd/A 69178-2020 artfynd.xlsx", "A 69178-2020")</f>
        <v/>
      </c>
      <c r="T30">
        <f>HYPERLINK("https://klasma.github.io/Logging_0780/kartor/A 69178-2020 karta.png", "A 69178-2020")</f>
        <v/>
      </c>
      <c r="V30">
        <f>HYPERLINK("https://klasma.github.io/Logging_0780/klagomål/A 69178-2020 FSC-klagomål.docx", "A 69178-2020")</f>
        <v/>
      </c>
      <c r="W30">
        <f>HYPERLINK("https://klasma.github.io/Logging_0780/klagomålsmail/A 69178-2020 FSC-klagomål mail.docx", "A 69178-2020")</f>
        <v/>
      </c>
      <c r="X30">
        <f>HYPERLINK("https://klasma.github.io/Logging_0780/tillsyn/A 69178-2020 tillsynsbegäran.docx", "A 69178-2020")</f>
        <v/>
      </c>
      <c r="Y30">
        <f>HYPERLINK("https://klasma.github.io/Logging_0780/tillsynsmail/A 69178-2020 tillsynsbegäran mail.docx", "A 69178-2020")</f>
        <v/>
      </c>
      <c r="Z30">
        <f>HYPERLINK("https://klasma.github.io/Logging_0780/fåglar/A 69178-2020 prioriterade fågelarter.docx", "A 69178-2020")</f>
        <v/>
      </c>
    </row>
    <row r="31" ht="15" customHeight="1">
      <c r="A31" t="inlineStr">
        <is>
          <t>A 4515-2021</t>
        </is>
      </c>
      <c r="B31" s="1" t="n">
        <v>44224</v>
      </c>
      <c r="C31" s="1" t="n">
        <v>45791</v>
      </c>
      <c r="D31" t="inlineStr">
        <is>
          <t>KRONOBERGS LÄN</t>
        </is>
      </c>
      <c r="E31" t="inlineStr">
        <is>
          <t>VÄXJÖ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4515-2021 artfynd.xlsx", "A 4515-2021")</f>
        <v/>
      </c>
      <c r="T31">
        <f>HYPERLINK("https://klasma.github.io/Logging_0780/kartor/A 4515-2021 karta.png", "A 4515-2021")</f>
        <v/>
      </c>
      <c r="V31">
        <f>HYPERLINK("https://klasma.github.io/Logging_0780/klagomål/A 4515-2021 FSC-klagomål.docx", "A 4515-2021")</f>
        <v/>
      </c>
      <c r="W31">
        <f>HYPERLINK("https://klasma.github.io/Logging_0780/klagomålsmail/A 4515-2021 FSC-klagomål mail.docx", "A 4515-2021")</f>
        <v/>
      </c>
      <c r="X31">
        <f>HYPERLINK("https://klasma.github.io/Logging_0780/tillsyn/A 4515-2021 tillsynsbegäran.docx", "A 4515-2021")</f>
        <v/>
      </c>
      <c r="Y31">
        <f>HYPERLINK("https://klasma.github.io/Logging_0780/tillsynsmail/A 4515-2021 tillsynsbegäran mail.docx", "A 4515-2021")</f>
        <v/>
      </c>
    </row>
    <row r="32" ht="15" customHeight="1">
      <c r="A32" t="inlineStr">
        <is>
          <t>A 5364-2021</t>
        </is>
      </c>
      <c r="B32" s="1" t="n">
        <v>44229</v>
      </c>
      <c r="C32" s="1" t="n">
        <v>45791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HYPERLINK("https://klasma.github.io/Logging_0780/artfynd/A 5364-2021 artfynd.xlsx", "A 5364-2021")</f>
        <v/>
      </c>
      <c r="T32">
        <f>HYPERLINK("https://klasma.github.io/Logging_0780/kartor/A 5364-2021 karta.png", "A 5364-2021")</f>
        <v/>
      </c>
      <c r="V32">
        <f>HYPERLINK("https://klasma.github.io/Logging_0780/klagomål/A 5364-2021 FSC-klagomål.docx", "A 5364-2021")</f>
        <v/>
      </c>
      <c r="W32">
        <f>HYPERLINK("https://klasma.github.io/Logging_0780/klagomålsmail/A 5364-2021 FSC-klagomål mail.docx", "A 5364-2021")</f>
        <v/>
      </c>
      <c r="X32">
        <f>HYPERLINK("https://klasma.github.io/Logging_0780/tillsyn/A 5364-2021 tillsynsbegäran.docx", "A 5364-2021")</f>
        <v/>
      </c>
      <c r="Y32">
        <f>HYPERLINK("https://klasma.github.io/Logging_0780/tillsynsmail/A 5364-2021 tillsynsbegäran mail.docx", "A 5364-2021")</f>
        <v/>
      </c>
    </row>
    <row r="33" ht="15" customHeight="1">
      <c r="A33" t="inlineStr">
        <is>
          <t>A 8280-2021</t>
        </is>
      </c>
      <c r="B33" s="1" t="n">
        <v>44244</v>
      </c>
      <c r="C33" s="1" t="n">
        <v>45791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8280-2021 artfynd.xlsx", "A 8280-2021")</f>
        <v/>
      </c>
      <c r="T33">
        <f>HYPERLINK("https://klasma.github.io/Logging_0780/kartor/A 8280-2021 karta.png", "A 8280-2021")</f>
        <v/>
      </c>
      <c r="V33">
        <f>HYPERLINK("https://klasma.github.io/Logging_0780/klagomål/A 8280-2021 FSC-klagomål.docx", "A 8280-2021")</f>
        <v/>
      </c>
      <c r="W33">
        <f>HYPERLINK("https://klasma.github.io/Logging_0780/klagomålsmail/A 8280-2021 FSC-klagomål mail.docx", "A 8280-2021")</f>
        <v/>
      </c>
      <c r="X33">
        <f>HYPERLINK("https://klasma.github.io/Logging_0780/tillsyn/A 8280-2021 tillsynsbegäran.docx", "A 8280-2021")</f>
        <v/>
      </c>
      <c r="Y33">
        <f>HYPERLINK("https://klasma.github.io/Logging_0780/tillsynsmail/A 8280-2021 tillsynsbegäran mail.docx", "A 8280-2021")</f>
        <v/>
      </c>
    </row>
    <row r="34" ht="15" customHeight="1">
      <c r="A34" t="inlineStr">
        <is>
          <t>A 21191-2021</t>
        </is>
      </c>
      <c r="B34" s="1" t="n">
        <v>44320</v>
      </c>
      <c r="C34" s="1" t="n">
        <v>45791</v>
      </c>
      <c r="D34" t="inlineStr">
        <is>
          <t>KRONOBERGS LÄN</t>
        </is>
      </c>
      <c r="E34" t="inlineStr">
        <is>
          <t>VÄXJÖ</t>
        </is>
      </c>
      <c r="G34" t="n">
        <v>3.6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HYPERLINK("https://klasma.github.io/Logging_0780/artfynd/A 21191-2021 artfynd.xlsx", "A 21191-2021")</f>
        <v/>
      </c>
      <c r="T34">
        <f>HYPERLINK("https://klasma.github.io/Logging_0780/kartor/A 21191-2021 karta.png", "A 21191-2021")</f>
        <v/>
      </c>
      <c r="U34">
        <f>HYPERLINK("https://klasma.github.io/Logging_0780/knärot/A 21191-2021 karta knärot.png", "A 21191-2021")</f>
        <v/>
      </c>
      <c r="V34">
        <f>HYPERLINK("https://klasma.github.io/Logging_0780/klagomål/A 21191-2021 FSC-klagomål.docx", "A 21191-2021")</f>
        <v/>
      </c>
      <c r="W34">
        <f>HYPERLINK("https://klasma.github.io/Logging_0780/klagomålsmail/A 21191-2021 FSC-klagomål mail.docx", "A 21191-2021")</f>
        <v/>
      </c>
      <c r="X34">
        <f>HYPERLINK("https://klasma.github.io/Logging_0780/tillsyn/A 21191-2021 tillsynsbegäran.docx", "A 21191-2021")</f>
        <v/>
      </c>
      <c r="Y34">
        <f>HYPERLINK("https://klasma.github.io/Logging_0780/tillsynsmail/A 21191-2021 tillsynsbegäran mail.docx", "A 21191-2021")</f>
        <v/>
      </c>
    </row>
    <row r="35" ht="15" customHeight="1">
      <c r="A35" t="inlineStr">
        <is>
          <t>A 29179-2021</t>
        </is>
      </c>
      <c r="B35" s="1" t="n">
        <v>44358</v>
      </c>
      <c r="C35" s="1" t="n">
        <v>45791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HYPERLINK("https://klasma.github.io/Logging_0780/artfynd/A 29179-2021 artfynd.xlsx", "A 29179-2021")</f>
        <v/>
      </c>
      <c r="T35">
        <f>HYPERLINK("https://klasma.github.io/Logging_0780/kartor/A 29179-2021 karta.png", "A 29179-2021")</f>
        <v/>
      </c>
      <c r="V35">
        <f>HYPERLINK("https://klasma.github.io/Logging_0780/klagomål/A 29179-2021 FSC-klagomål.docx", "A 29179-2021")</f>
        <v/>
      </c>
      <c r="W35">
        <f>HYPERLINK("https://klasma.github.io/Logging_0780/klagomålsmail/A 29179-2021 FSC-klagomål mail.docx", "A 29179-2021")</f>
        <v/>
      </c>
      <c r="X35">
        <f>HYPERLINK("https://klasma.github.io/Logging_0780/tillsyn/A 29179-2021 tillsynsbegäran.docx", "A 29179-2021")</f>
        <v/>
      </c>
      <c r="Y35">
        <f>HYPERLINK("https://klasma.github.io/Logging_0780/tillsynsmail/A 29179-2021 tillsynsbegäran mail.docx", "A 29179-2021")</f>
        <v/>
      </c>
      <c r="Z35">
        <f>HYPERLINK("https://klasma.github.io/Logging_0780/fåglar/A 29179-2021 prioriterade fågelarter.docx", "A 29179-2021")</f>
        <v/>
      </c>
    </row>
    <row r="36" ht="15" customHeight="1">
      <c r="A36" t="inlineStr">
        <is>
          <t>A 35815-2021</t>
        </is>
      </c>
      <c r="B36" s="1" t="n">
        <v>44386</v>
      </c>
      <c r="C36" s="1" t="n">
        <v>45791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HYPERLINK("https://klasma.github.io/Logging_0780/artfynd/A 35815-2021 artfynd.xlsx", "A 35815-2021")</f>
        <v/>
      </c>
      <c r="T36">
        <f>HYPERLINK("https://klasma.github.io/Logging_0780/kartor/A 35815-2021 karta.png", "A 35815-2021")</f>
        <v/>
      </c>
      <c r="V36">
        <f>HYPERLINK("https://klasma.github.io/Logging_0780/klagomål/A 35815-2021 FSC-klagomål.docx", "A 35815-2021")</f>
        <v/>
      </c>
      <c r="W36">
        <f>HYPERLINK("https://klasma.github.io/Logging_0780/klagomålsmail/A 35815-2021 FSC-klagomål mail.docx", "A 35815-2021")</f>
        <v/>
      </c>
      <c r="X36">
        <f>HYPERLINK("https://klasma.github.io/Logging_0780/tillsyn/A 35815-2021 tillsynsbegäran.docx", "A 35815-2021")</f>
        <v/>
      </c>
      <c r="Y36">
        <f>HYPERLINK("https://klasma.github.io/Logging_0780/tillsynsmail/A 35815-2021 tillsynsbegäran mail.docx", "A 35815-2021")</f>
        <v/>
      </c>
    </row>
    <row r="37" ht="15" customHeight="1">
      <c r="A37" t="inlineStr">
        <is>
          <t>A 43912-2021</t>
        </is>
      </c>
      <c r="B37" s="1" t="n">
        <v>44434</v>
      </c>
      <c r="C37" s="1" t="n">
        <v>45791</v>
      </c>
      <c r="D37" t="inlineStr">
        <is>
          <t>KRONOBERGS LÄN</t>
        </is>
      </c>
      <c r="E37" t="inlineStr">
        <is>
          <t>VÄXJÖ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HYPERLINK("https://klasma.github.io/Logging_0780/artfynd/A 43912-2021 artfynd.xlsx", "A 43912-2021")</f>
        <v/>
      </c>
      <c r="T37">
        <f>HYPERLINK("https://klasma.github.io/Logging_0780/kartor/A 43912-2021 karta.png", "A 43912-2021")</f>
        <v/>
      </c>
      <c r="V37">
        <f>HYPERLINK("https://klasma.github.io/Logging_0780/klagomål/A 43912-2021 FSC-klagomål.docx", "A 43912-2021")</f>
        <v/>
      </c>
      <c r="W37">
        <f>HYPERLINK("https://klasma.github.io/Logging_0780/klagomålsmail/A 43912-2021 FSC-klagomål mail.docx", "A 43912-2021")</f>
        <v/>
      </c>
      <c r="X37">
        <f>HYPERLINK("https://klasma.github.io/Logging_0780/tillsyn/A 43912-2021 tillsynsbegäran.docx", "A 43912-2021")</f>
        <v/>
      </c>
      <c r="Y37">
        <f>HYPERLINK("https://klasma.github.io/Logging_0780/tillsynsmail/A 43912-2021 tillsynsbegäran mail.docx", "A 43912-2021")</f>
        <v/>
      </c>
    </row>
    <row r="38" ht="15" customHeight="1">
      <c r="A38" t="inlineStr">
        <is>
          <t>A 16796-2022</t>
        </is>
      </c>
      <c r="B38" s="1" t="n">
        <v>44673</v>
      </c>
      <c r="C38" s="1" t="n">
        <v>45791</v>
      </c>
      <c r="D38" t="inlineStr">
        <is>
          <t>KRONOBERGS LÄN</t>
        </is>
      </c>
      <c r="E38" t="inlineStr">
        <is>
          <t>VÄXJÖ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HYPERLINK("https://klasma.github.io/Logging_0780/artfynd/A 16796-2022 artfynd.xlsx", "A 16796-2022")</f>
        <v/>
      </c>
      <c r="T38">
        <f>HYPERLINK("https://klasma.github.io/Logging_0780/kartor/A 16796-2022 karta.png", "A 16796-2022")</f>
        <v/>
      </c>
      <c r="V38">
        <f>HYPERLINK("https://klasma.github.io/Logging_0780/klagomål/A 16796-2022 FSC-klagomål.docx", "A 16796-2022")</f>
        <v/>
      </c>
      <c r="W38">
        <f>HYPERLINK("https://klasma.github.io/Logging_0780/klagomålsmail/A 16796-2022 FSC-klagomål mail.docx", "A 16796-2022")</f>
        <v/>
      </c>
      <c r="X38">
        <f>HYPERLINK("https://klasma.github.io/Logging_0780/tillsyn/A 16796-2022 tillsynsbegäran.docx", "A 16796-2022")</f>
        <v/>
      </c>
      <c r="Y38">
        <f>HYPERLINK("https://klasma.github.io/Logging_0780/tillsynsmail/A 16796-2022 tillsynsbegäran mail.docx", "A 16796-2022")</f>
        <v/>
      </c>
    </row>
    <row r="39" ht="15" customHeight="1">
      <c r="A39" t="inlineStr">
        <is>
          <t>A 60820-2022</t>
        </is>
      </c>
      <c r="B39" s="1" t="n">
        <v>44914</v>
      </c>
      <c r="C39" s="1" t="n">
        <v>45791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HYPERLINK("https://klasma.github.io/Logging_0780/artfynd/A 60820-2022 artfynd.xlsx", "A 60820-2022")</f>
        <v/>
      </c>
      <c r="T39">
        <f>HYPERLINK("https://klasma.github.io/Logging_0780/kartor/A 60820-2022 karta.png", "A 60820-2022")</f>
        <v/>
      </c>
      <c r="V39">
        <f>HYPERLINK("https://klasma.github.io/Logging_0780/klagomål/A 60820-2022 FSC-klagomål.docx", "A 60820-2022")</f>
        <v/>
      </c>
      <c r="W39">
        <f>HYPERLINK("https://klasma.github.io/Logging_0780/klagomålsmail/A 60820-2022 FSC-klagomål mail.docx", "A 60820-2022")</f>
        <v/>
      </c>
      <c r="X39">
        <f>HYPERLINK("https://klasma.github.io/Logging_0780/tillsyn/A 60820-2022 tillsynsbegäran.docx", "A 60820-2022")</f>
        <v/>
      </c>
      <c r="Y39">
        <f>HYPERLINK("https://klasma.github.io/Logging_0780/tillsynsmail/A 60820-2022 tillsynsbegäran mail.docx", "A 60820-2022")</f>
        <v/>
      </c>
      <c r="Z39">
        <f>HYPERLINK("https://klasma.github.io/Logging_0780/fåglar/A 60820-2022 prioriterade fågelarter.docx", "A 60820-2022")</f>
        <v/>
      </c>
    </row>
    <row r="40" ht="15" customHeight="1">
      <c r="A40" t="inlineStr">
        <is>
          <t>A 31667-2023</t>
        </is>
      </c>
      <c r="B40" s="1" t="n">
        <v>45098</v>
      </c>
      <c r="C40" s="1" t="n">
        <v>45791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HYPERLINK("https://klasma.github.io/Logging_0780/artfynd/A 31667-2023 artfynd.xlsx", "A 31667-2023")</f>
        <v/>
      </c>
      <c r="T40">
        <f>HYPERLINK("https://klasma.github.io/Logging_0780/kartor/A 31667-2023 karta.png", "A 31667-2023")</f>
        <v/>
      </c>
      <c r="V40">
        <f>HYPERLINK("https://klasma.github.io/Logging_0780/klagomål/A 31667-2023 FSC-klagomål.docx", "A 31667-2023")</f>
        <v/>
      </c>
      <c r="W40">
        <f>HYPERLINK("https://klasma.github.io/Logging_0780/klagomålsmail/A 31667-2023 FSC-klagomål mail.docx", "A 31667-2023")</f>
        <v/>
      </c>
      <c r="X40">
        <f>HYPERLINK("https://klasma.github.io/Logging_0780/tillsyn/A 31667-2023 tillsynsbegäran.docx", "A 31667-2023")</f>
        <v/>
      </c>
      <c r="Y40">
        <f>HYPERLINK("https://klasma.github.io/Logging_0780/tillsynsmail/A 31667-2023 tillsynsbegäran mail.docx", "A 31667-2023")</f>
        <v/>
      </c>
    </row>
    <row r="41" ht="15" customHeight="1">
      <c r="A41" t="inlineStr">
        <is>
          <t>A 28572-2023</t>
        </is>
      </c>
      <c r="B41" s="1" t="n">
        <v>45103</v>
      </c>
      <c r="C41" s="1" t="n">
        <v>45791</v>
      </c>
      <c r="D41" t="inlineStr">
        <is>
          <t>KRONOBERGS LÄN</t>
        </is>
      </c>
      <c r="E41" t="inlineStr">
        <is>
          <t>VÄXJÖ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HYPERLINK("https://klasma.github.io/Logging_0780/artfynd/A 28572-2023 artfynd.xlsx", "A 28572-2023")</f>
        <v/>
      </c>
      <c r="T41">
        <f>HYPERLINK("https://klasma.github.io/Logging_0780/kartor/A 28572-2023 karta.png", "A 28572-2023")</f>
        <v/>
      </c>
      <c r="V41">
        <f>HYPERLINK("https://klasma.github.io/Logging_0780/klagomål/A 28572-2023 FSC-klagomål.docx", "A 28572-2023")</f>
        <v/>
      </c>
      <c r="W41">
        <f>HYPERLINK("https://klasma.github.io/Logging_0780/klagomålsmail/A 28572-2023 FSC-klagomål mail.docx", "A 28572-2023")</f>
        <v/>
      </c>
      <c r="X41">
        <f>HYPERLINK("https://klasma.github.io/Logging_0780/tillsyn/A 28572-2023 tillsynsbegäran.docx", "A 28572-2023")</f>
        <v/>
      </c>
      <c r="Y41">
        <f>HYPERLINK("https://klasma.github.io/Logging_0780/tillsynsmail/A 28572-2023 tillsynsbegäran mail.docx", "A 28572-2023")</f>
        <v/>
      </c>
    </row>
    <row r="42" ht="15" customHeight="1">
      <c r="A42" t="inlineStr">
        <is>
          <t>A 58051-2023</t>
        </is>
      </c>
      <c r="B42" s="1" t="n">
        <v>45247</v>
      </c>
      <c r="C42" s="1" t="n">
        <v>45791</v>
      </c>
      <c r="D42" t="inlineStr">
        <is>
          <t>KRONOBERGS LÄN</t>
        </is>
      </c>
      <c r="E42" t="inlineStr">
        <is>
          <t>VÄXJÖ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Parkhättemossa</t>
        </is>
      </c>
      <c r="S42">
        <f>HYPERLINK("https://klasma.github.io/Logging_0780/artfynd/A 58051-2023 artfynd.xlsx", "A 58051-2023")</f>
        <v/>
      </c>
      <c r="T42">
        <f>HYPERLINK("https://klasma.github.io/Logging_0780/kartor/A 58051-2023 karta.png", "A 58051-2023")</f>
        <v/>
      </c>
      <c r="V42">
        <f>HYPERLINK("https://klasma.github.io/Logging_0780/klagomål/A 58051-2023 FSC-klagomål.docx", "A 58051-2023")</f>
        <v/>
      </c>
      <c r="W42">
        <f>HYPERLINK("https://klasma.github.io/Logging_0780/klagomålsmail/A 58051-2023 FSC-klagomål mail.docx", "A 58051-2023")</f>
        <v/>
      </c>
      <c r="X42">
        <f>HYPERLINK("https://klasma.github.io/Logging_0780/tillsyn/A 58051-2023 tillsynsbegäran.docx", "A 58051-2023")</f>
        <v/>
      </c>
      <c r="Y42">
        <f>HYPERLINK("https://klasma.github.io/Logging_0780/tillsynsmail/A 58051-2023 tillsynsbegäran mail.docx", "A 58051-2023")</f>
        <v/>
      </c>
    </row>
    <row r="43" ht="15" customHeight="1">
      <c r="A43" t="inlineStr">
        <is>
          <t>A 63249-2023</t>
        </is>
      </c>
      <c r="B43" s="1" t="n">
        <v>45273</v>
      </c>
      <c r="C43" s="1" t="n">
        <v>45791</v>
      </c>
      <c r="D43" t="inlineStr">
        <is>
          <t>KRONOBERGS LÄN</t>
        </is>
      </c>
      <c r="E43" t="inlineStr">
        <is>
          <t>VÄXJÖ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Gropticka</t>
        </is>
      </c>
      <c r="S43">
        <f>HYPERLINK("https://klasma.github.io/Logging_0780/artfynd/A 63249-2023 artfynd.xlsx", "A 63249-2023")</f>
        <v/>
      </c>
      <c r="T43">
        <f>HYPERLINK("https://klasma.github.io/Logging_0780/kartor/A 63249-2023 karta.png", "A 63249-2023")</f>
        <v/>
      </c>
      <c r="V43">
        <f>HYPERLINK("https://klasma.github.io/Logging_0780/klagomål/A 63249-2023 FSC-klagomål.docx", "A 63249-2023")</f>
        <v/>
      </c>
      <c r="W43">
        <f>HYPERLINK("https://klasma.github.io/Logging_0780/klagomålsmail/A 63249-2023 FSC-klagomål mail.docx", "A 63249-2023")</f>
        <v/>
      </c>
      <c r="X43">
        <f>HYPERLINK("https://klasma.github.io/Logging_0780/tillsyn/A 63249-2023 tillsynsbegäran.docx", "A 63249-2023")</f>
        <v/>
      </c>
      <c r="Y43">
        <f>HYPERLINK("https://klasma.github.io/Logging_0780/tillsynsmail/A 63249-2023 tillsynsbegäran mail.docx", "A 63249-2023")</f>
        <v/>
      </c>
    </row>
    <row r="44" ht="15" customHeight="1">
      <c r="A44" t="inlineStr">
        <is>
          <t>A 64150-2023</t>
        </is>
      </c>
      <c r="B44" s="1" t="n">
        <v>45279</v>
      </c>
      <c r="C44" s="1" t="n">
        <v>45791</v>
      </c>
      <c r="D44" t="inlineStr">
        <is>
          <t>KRONOBERGS LÄN</t>
        </is>
      </c>
      <c r="E44" t="inlineStr">
        <is>
          <t>VÄXJÖ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HYPERLINK("https://klasma.github.io/Logging_0780/artfynd/A 64150-2023 artfynd.xlsx", "A 64150-2023")</f>
        <v/>
      </c>
      <c r="T44">
        <f>HYPERLINK("https://klasma.github.io/Logging_0780/kartor/A 64150-2023 karta.png", "A 64150-2023")</f>
        <v/>
      </c>
      <c r="V44">
        <f>HYPERLINK("https://klasma.github.io/Logging_0780/klagomål/A 64150-2023 FSC-klagomål.docx", "A 64150-2023")</f>
        <v/>
      </c>
      <c r="W44">
        <f>HYPERLINK("https://klasma.github.io/Logging_0780/klagomålsmail/A 64150-2023 FSC-klagomål mail.docx", "A 64150-2023")</f>
        <v/>
      </c>
      <c r="X44">
        <f>HYPERLINK("https://klasma.github.io/Logging_0780/tillsyn/A 64150-2023 tillsynsbegäran.docx", "A 64150-2023")</f>
        <v/>
      </c>
      <c r="Y44">
        <f>HYPERLINK("https://klasma.github.io/Logging_0780/tillsynsmail/A 64150-2023 tillsynsbegäran mail.docx", "A 64150-2023")</f>
        <v/>
      </c>
    </row>
    <row r="45" ht="15" customHeight="1">
      <c r="A45" t="inlineStr">
        <is>
          <t>A 64284-2023</t>
        </is>
      </c>
      <c r="B45" s="1" t="n">
        <v>45280</v>
      </c>
      <c r="C45" s="1" t="n">
        <v>45791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HYPERLINK("https://klasma.github.io/Logging_0780/artfynd/A 64284-2023 artfynd.xlsx", "A 64284-2023")</f>
        <v/>
      </c>
      <c r="T45">
        <f>HYPERLINK("https://klasma.github.io/Logging_0780/kartor/A 64284-2023 karta.png", "A 64284-2023")</f>
        <v/>
      </c>
      <c r="V45">
        <f>HYPERLINK("https://klasma.github.io/Logging_0780/klagomål/A 64284-2023 FSC-klagomål.docx", "A 64284-2023")</f>
        <v/>
      </c>
      <c r="W45">
        <f>HYPERLINK("https://klasma.github.io/Logging_0780/klagomålsmail/A 64284-2023 FSC-klagomål mail.docx", "A 64284-2023")</f>
        <v/>
      </c>
      <c r="X45">
        <f>HYPERLINK("https://klasma.github.io/Logging_0780/tillsyn/A 64284-2023 tillsynsbegäran.docx", "A 64284-2023")</f>
        <v/>
      </c>
      <c r="Y45">
        <f>HYPERLINK("https://klasma.github.io/Logging_0780/tillsynsmail/A 64284-2023 tillsynsbegäran mail.docx", "A 64284-2023")</f>
        <v/>
      </c>
    </row>
    <row r="46" ht="15" customHeight="1">
      <c r="A46" t="inlineStr">
        <is>
          <t>A 14022-2024</t>
        </is>
      </c>
      <c r="B46" s="1" t="n">
        <v>45392</v>
      </c>
      <c r="C46" s="1" t="n">
        <v>45791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HYPERLINK("https://klasma.github.io/Logging_0780/artfynd/A 14022-2024 artfynd.xlsx", "A 14022-2024")</f>
        <v/>
      </c>
      <c r="T46">
        <f>HYPERLINK("https://klasma.github.io/Logging_0780/kartor/A 14022-2024 karta.png", "A 14022-2024")</f>
        <v/>
      </c>
      <c r="V46">
        <f>HYPERLINK("https://klasma.github.io/Logging_0780/klagomål/A 14022-2024 FSC-klagomål.docx", "A 14022-2024")</f>
        <v/>
      </c>
      <c r="W46">
        <f>HYPERLINK("https://klasma.github.io/Logging_0780/klagomålsmail/A 14022-2024 FSC-klagomål mail.docx", "A 14022-2024")</f>
        <v/>
      </c>
      <c r="X46">
        <f>HYPERLINK("https://klasma.github.io/Logging_0780/tillsyn/A 14022-2024 tillsynsbegäran.docx", "A 14022-2024")</f>
        <v/>
      </c>
      <c r="Y46">
        <f>HYPERLINK("https://klasma.github.io/Logging_0780/tillsynsmail/A 14022-2024 tillsynsbegäran mail.docx", "A 14022-2024")</f>
        <v/>
      </c>
    </row>
    <row r="47" ht="15" customHeight="1">
      <c r="A47" t="inlineStr">
        <is>
          <t>A 22576-2024</t>
        </is>
      </c>
      <c r="B47" s="1" t="n">
        <v>45447</v>
      </c>
      <c r="C47" s="1" t="n">
        <v>45791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Loppstarr</t>
        </is>
      </c>
      <c r="S47">
        <f>HYPERLINK("https://klasma.github.io/Logging_0780/artfynd/A 22576-2024 artfynd.xlsx", "A 22576-2024")</f>
        <v/>
      </c>
      <c r="T47">
        <f>HYPERLINK("https://klasma.github.io/Logging_0780/kartor/A 22576-2024 karta.png", "A 22576-2024")</f>
        <v/>
      </c>
      <c r="V47">
        <f>HYPERLINK("https://klasma.github.io/Logging_0780/klagomål/A 22576-2024 FSC-klagomål.docx", "A 22576-2024")</f>
        <v/>
      </c>
      <c r="W47">
        <f>HYPERLINK("https://klasma.github.io/Logging_0780/klagomålsmail/A 22576-2024 FSC-klagomål mail.docx", "A 22576-2024")</f>
        <v/>
      </c>
      <c r="X47">
        <f>HYPERLINK("https://klasma.github.io/Logging_0780/tillsyn/A 22576-2024 tillsynsbegäran.docx", "A 22576-2024")</f>
        <v/>
      </c>
      <c r="Y47">
        <f>HYPERLINK("https://klasma.github.io/Logging_0780/tillsynsmail/A 22576-2024 tillsynsbegäran mail.docx", "A 22576-2024")</f>
        <v/>
      </c>
    </row>
    <row r="48" ht="15" customHeight="1">
      <c r="A48" t="inlineStr">
        <is>
          <t>A 30317-2024</t>
        </is>
      </c>
      <c r="B48" s="1" t="n">
        <v>45490</v>
      </c>
      <c r="C48" s="1" t="n">
        <v>45791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Scharlakansskål</t>
        </is>
      </c>
      <c r="S48">
        <f>HYPERLINK("https://klasma.github.io/Logging_0780/artfynd/A 30317-2024 artfynd.xlsx", "A 30317-2024")</f>
        <v/>
      </c>
      <c r="T48">
        <f>HYPERLINK("https://klasma.github.io/Logging_0780/kartor/A 30317-2024 karta.png", "A 30317-2024")</f>
        <v/>
      </c>
      <c r="V48">
        <f>HYPERLINK("https://klasma.github.io/Logging_0780/klagomål/A 30317-2024 FSC-klagomål.docx", "A 30317-2024")</f>
        <v/>
      </c>
      <c r="W48">
        <f>HYPERLINK("https://klasma.github.io/Logging_0780/klagomålsmail/A 30317-2024 FSC-klagomål mail.docx", "A 30317-2024")</f>
        <v/>
      </c>
      <c r="X48">
        <f>HYPERLINK("https://klasma.github.io/Logging_0780/tillsyn/A 30317-2024 tillsynsbegäran.docx", "A 30317-2024")</f>
        <v/>
      </c>
      <c r="Y48">
        <f>HYPERLINK("https://klasma.github.io/Logging_0780/tillsynsmail/A 30317-2024 tillsynsbegäran mail.docx", "A 30317-2024")</f>
        <v/>
      </c>
    </row>
    <row r="49" ht="15" customHeight="1">
      <c r="A49" t="inlineStr">
        <is>
          <t>A 35901-2024</t>
        </is>
      </c>
      <c r="B49" s="1" t="n">
        <v>45533</v>
      </c>
      <c r="C49" s="1" t="n">
        <v>45791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HYPERLINK("https://klasma.github.io/Logging_0780/artfynd/A 35901-2024 artfynd.xlsx", "A 35901-2024")</f>
        <v/>
      </c>
      <c r="T49">
        <f>HYPERLINK("https://klasma.github.io/Logging_0780/kartor/A 35901-2024 karta.png", "A 35901-2024")</f>
        <v/>
      </c>
      <c r="V49">
        <f>HYPERLINK("https://klasma.github.io/Logging_0780/klagomål/A 35901-2024 FSC-klagomål.docx", "A 35901-2024")</f>
        <v/>
      </c>
      <c r="W49">
        <f>HYPERLINK("https://klasma.github.io/Logging_0780/klagomålsmail/A 35901-2024 FSC-klagomål mail.docx", "A 35901-2024")</f>
        <v/>
      </c>
      <c r="X49">
        <f>HYPERLINK("https://klasma.github.io/Logging_0780/tillsyn/A 35901-2024 tillsynsbegäran.docx", "A 35901-2024")</f>
        <v/>
      </c>
      <c r="Y49">
        <f>HYPERLINK("https://klasma.github.io/Logging_0780/tillsynsmail/A 35901-2024 tillsynsbegäran mail.docx", "A 35901-2024")</f>
        <v/>
      </c>
      <c r="Z49">
        <f>HYPERLINK("https://klasma.github.io/Logging_0780/fåglar/A 35901-2024 prioriterade fågelarter.docx", "A 35901-2024")</f>
        <v/>
      </c>
    </row>
    <row r="50" ht="15" customHeight="1">
      <c r="A50" t="inlineStr">
        <is>
          <t>A 38036-2024</t>
        </is>
      </c>
      <c r="B50" s="1" t="n">
        <v>45544</v>
      </c>
      <c r="C50" s="1" t="n">
        <v>45791</v>
      </c>
      <c r="D50" t="inlineStr">
        <is>
          <t>KRONOBERGS LÄN</t>
        </is>
      </c>
      <c r="E50" t="inlineStr">
        <is>
          <t>VÄXJÖ</t>
        </is>
      </c>
      <c r="F50" t="inlineStr">
        <is>
          <t>Övriga Aktiebolag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HYPERLINK("https://klasma.github.io/Logging_0780/artfynd/A 38036-2024 artfynd.xlsx", "A 38036-2024")</f>
        <v/>
      </c>
      <c r="T50">
        <f>HYPERLINK("https://klasma.github.io/Logging_0780/kartor/A 38036-2024 karta.png", "A 38036-2024")</f>
        <v/>
      </c>
      <c r="V50">
        <f>HYPERLINK("https://klasma.github.io/Logging_0780/klagomål/A 38036-2024 FSC-klagomål.docx", "A 38036-2024")</f>
        <v/>
      </c>
      <c r="W50">
        <f>HYPERLINK("https://klasma.github.io/Logging_0780/klagomålsmail/A 38036-2024 FSC-klagomål mail.docx", "A 38036-2024")</f>
        <v/>
      </c>
      <c r="X50">
        <f>HYPERLINK("https://klasma.github.io/Logging_0780/tillsyn/A 38036-2024 tillsynsbegäran.docx", "A 38036-2024")</f>
        <v/>
      </c>
      <c r="Y50">
        <f>HYPERLINK("https://klasma.github.io/Logging_0780/tillsynsmail/A 38036-2024 tillsynsbegäran mail.docx", "A 38036-2024")</f>
        <v/>
      </c>
    </row>
    <row r="51" ht="15" customHeight="1">
      <c r="A51" t="inlineStr">
        <is>
          <t>A 38339-2024</t>
        </is>
      </c>
      <c r="B51" s="1" t="n">
        <v>45545</v>
      </c>
      <c r="C51" s="1" t="n">
        <v>45791</v>
      </c>
      <c r="D51" t="inlineStr">
        <is>
          <t>KRONOBERGS LÄN</t>
        </is>
      </c>
      <c r="E51" t="inlineStr">
        <is>
          <t>VÄXJÖ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Tallriska</t>
        </is>
      </c>
      <c r="S51">
        <f>HYPERLINK("https://klasma.github.io/Logging_0780/artfynd/A 38339-2024 artfynd.xlsx", "A 38339-2024")</f>
        <v/>
      </c>
      <c r="T51">
        <f>HYPERLINK("https://klasma.github.io/Logging_0780/kartor/A 38339-2024 karta.png", "A 38339-2024")</f>
        <v/>
      </c>
      <c r="V51">
        <f>HYPERLINK("https://klasma.github.io/Logging_0780/klagomål/A 38339-2024 FSC-klagomål.docx", "A 38339-2024")</f>
        <v/>
      </c>
      <c r="W51">
        <f>HYPERLINK("https://klasma.github.io/Logging_0780/klagomålsmail/A 38339-2024 FSC-klagomål mail.docx", "A 38339-2024")</f>
        <v/>
      </c>
      <c r="X51">
        <f>HYPERLINK("https://klasma.github.io/Logging_0780/tillsyn/A 38339-2024 tillsynsbegäran.docx", "A 38339-2024")</f>
        <v/>
      </c>
      <c r="Y51">
        <f>HYPERLINK("https://klasma.github.io/Logging_0780/tillsynsmail/A 38339-2024 tillsynsbegäran mail.docx", "A 38339-2024")</f>
        <v/>
      </c>
    </row>
    <row r="52" ht="15" customHeight="1">
      <c r="A52" t="inlineStr">
        <is>
          <t>A 40266-2024</t>
        </is>
      </c>
      <c r="B52" s="1" t="n">
        <v>45554</v>
      </c>
      <c r="C52" s="1" t="n">
        <v>45791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HYPERLINK("https://klasma.github.io/Logging_0780/artfynd/A 40266-2024 artfynd.xlsx", "A 40266-2024")</f>
        <v/>
      </c>
      <c r="T52">
        <f>HYPERLINK("https://klasma.github.io/Logging_0780/kartor/A 40266-2024 karta.png", "A 40266-2024")</f>
        <v/>
      </c>
      <c r="V52">
        <f>HYPERLINK("https://klasma.github.io/Logging_0780/klagomål/A 40266-2024 FSC-klagomål.docx", "A 40266-2024")</f>
        <v/>
      </c>
      <c r="W52">
        <f>HYPERLINK("https://klasma.github.io/Logging_0780/klagomålsmail/A 40266-2024 FSC-klagomål mail.docx", "A 40266-2024")</f>
        <v/>
      </c>
      <c r="X52">
        <f>HYPERLINK("https://klasma.github.io/Logging_0780/tillsyn/A 40266-2024 tillsynsbegäran.docx", "A 40266-2024")</f>
        <v/>
      </c>
      <c r="Y52">
        <f>HYPERLINK("https://klasma.github.io/Logging_0780/tillsynsmail/A 40266-2024 tillsynsbegäran mail.docx", "A 40266-2024")</f>
        <v/>
      </c>
    </row>
    <row r="53" ht="15" customHeight="1">
      <c r="A53" t="inlineStr">
        <is>
          <t>A 51647-2024</t>
        </is>
      </c>
      <c r="B53" s="1" t="n">
        <v>45606</v>
      </c>
      <c r="C53" s="1" t="n">
        <v>45791</v>
      </c>
      <c r="D53" t="inlineStr">
        <is>
          <t>KRONOBERGS LÄN</t>
        </is>
      </c>
      <c r="E53" t="inlineStr">
        <is>
          <t>VÄXJÖ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HYPERLINK("https://klasma.github.io/Logging_0780/artfynd/A 51647-2024 artfynd.xlsx", "A 51647-2024")</f>
        <v/>
      </c>
      <c r="T53">
        <f>HYPERLINK("https://klasma.github.io/Logging_0780/kartor/A 51647-2024 karta.png", "A 51647-2024")</f>
        <v/>
      </c>
      <c r="V53">
        <f>HYPERLINK("https://klasma.github.io/Logging_0780/klagomål/A 51647-2024 FSC-klagomål.docx", "A 51647-2024")</f>
        <v/>
      </c>
      <c r="W53">
        <f>HYPERLINK("https://klasma.github.io/Logging_0780/klagomålsmail/A 51647-2024 FSC-klagomål mail.docx", "A 51647-2024")</f>
        <v/>
      </c>
      <c r="X53">
        <f>HYPERLINK("https://klasma.github.io/Logging_0780/tillsyn/A 51647-2024 tillsynsbegäran.docx", "A 51647-2024")</f>
        <v/>
      </c>
      <c r="Y53">
        <f>HYPERLINK("https://klasma.github.io/Logging_0780/tillsynsmail/A 51647-2024 tillsynsbegäran mail.docx", "A 51647-2024")</f>
        <v/>
      </c>
    </row>
    <row r="54" ht="15" customHeight="1">
      <c r="A54" t="inlineStr">
        <is>
          <t>A 52628-2024</t>
        </is>
      </c>
      <c r="B54" s="1" t="n">
        <v>45610</v>
      </c>
      <c r="C54" s="1" t="n">
        <v>45791</v>
      </c>
      <c r="D54" t="inlineStr">
        <is>
          <t>KRONOBERGS LÄN</t>
        </is>
      </c>
      <c r="E54" t="inlineStr">
        <is>
          <t>VÄXJÖ</t>
        </is>
      </c>
      <c r="G54" t="n">
        <v>4.2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HYPERLINK("https://klasma.github.io/Logging_0780/artfynd/A 52628-2024 artfynd.xlsx", "A 52628-2024")</f>
        <v/>
      </c>
      <c r="T54">
        <f>HYPERLINK("https://klasma.github.io/Logging_0780/kartor/A 52628-2024 karta.png", "A 52628-2024")</f>
        <v/>
      </c>
      <c r="V54">
        <f>HYPERLINK("https://klasma.github.io/Logging_0780/klagomål/A 52628-2024 FSC-klagomål.docx", "A 52628-2024")</f>
        <v/>
      </c>
      <c r="W54">
        <f>HYPERLINK("https://klasma.github.io/Logging_0780/klagomålsmail/A 52628-2024 FSC-klagomål mail.docx", "A 52628-2024")</f>
        <v/>
      </c>
      <c r="X54">
        <f>HYPERLINK("https://klasma.github.io/Logging_0780/tillsyn/A 52628-2024 tillsynsbegäran.docx", "A 52628-2024")</f>
        <v/>
      </c>
      <c r="Y54">
        <f>HYPERLINK("https://klasma.github.io/Logging_0780/tillsynsmail/A 52628-2024 tillsynsbegäran mail.docx", "A 52628-2024")</f>
        <v/>
      </c>
      <c r="Z54">
        <f>HYPERLINK("https://klasma.github.io/Logging_0780/fåglar/A 52628-2024 prioriterade fågelarter.docx", "A 52628-2024")</f>
        <v/>
      </c>
    </row>
    <row r="55" ht="15" customHeight="1">
      <c r="A55" t="inlineStr">
        <is>
          <t>A 60064-2024</t>
        </is>
      </c>
      <c r="B55" s="1" t="n">
        <v>45642</v>
      </c>
      <c r="C55" s="1" t="n">
        <v>45791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60064-2024 artfynd.xlsx", "A 60064-2024")</f>
        <v/>
      </c>
      <c r="T55">
        <f>HYPERLINK("https://klasma.github.io/Logging_0780/kartor/A 60064-2024 karta.png", "A 60064-2024")</f>
        <v/>
      </c>
      <c r="V55">
        <f>HYPERLINK("https://klasma.github.io/Logging_0780/klagomål/A 60064-2024 FSC-klagomål.docx", "A 60064-2024")</f>
        <v/>
      </c>
      <c r="W55">
        <f>HYPERLINK("https://klasma.github.io/Logging_0780/klagomålsmail/A 60064-2024 FSC-klagomål mail.docx", "A 60064-2024")</f>
        <v/>
      </c>
      <c r="X55">
        <f>HYPERLINK("https://klasma.github.io/Logging_0780/tillsyn/A 60064-2024 tillsynsbegäran.docx", "A 60064-2024")</f>
        <v/>
      </c>
      <c r="Y55">
        <f>HYPERLINK("https://klasma.github.io/Logging_0780/tillsynsmail/A 60064-2024 tillsynsbegäran mail.docx", "A 60064-2024")</f>
        <v/>
      </c>
    </row>
    <row r="56" ht="15" customHeight="1">
      <c r="A56" t="inlineStr">
        <is>
          <t>A 60370-2024</t>
        </is>
      </c>
      <c r="B56" s="1" t="n">
        <v>45643</v>
      </c>
      <c r="C56" s="1" t="n">
        <v>45791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HYPERLINK("https://klasma.github.io/Logging_0780/artfynd/A 60370-2024 artfynd.xlsx", "A 60370-2024")</f>
        <v/>
      </c>
      <c r="T56">
        <f>HYPERLINK("https://klasma.github.io/Logging_0780/kartor/A 60370-2024 karta.png", "A 60370-2024")</f>
        <v/>
      </c>
      <c r="V56">
        <f>HYPERLINK("https://klasma.github.io/Logging_0780/klagomål/A 60370-2024 FSC-klagomål.docx", "A 60370-2024")</f>
        <v/>
      </c>
      <c r="W56">
        <f>HYPERLINK("https://klasma.github.io/Logging_0780/klagomålsmail/A 60370-2024 FSC-klagomål mail.docx", "A 60370-2024")</f>
        <v/>
      </c>
      <c r="X56">
        <f>HYPERLINK("https://klasma.github.io/Logging_0780/tillsyn/A 60370-2024 tillsynsbegäran.docx", "A 60370-2024")</f>
        <v/>
      </c>
      <c r="Y56">
        <f>HYPERLINK("https://klasma.github.io/Logging_0780/tillsynsmail/A 60370-2024 tillsynsbegäran mail.docx", "A 60370-2024")</f>
        <v/>
      </c>
    </row>
    <row r="57" ht="15" customHeight="1">
      <c r="A57" t="inlineStr">
        <is>
          <t>A 18079-2025</t>
        </is>
      </c>
      <c r="B57" s="1" t="n">
        <v>45761</v>
      </c>
      <c r="C57" s="1" t="n">
        <v>45791</v>
      </c>
      <c r="D57" t="inlineStr">
        <is>
          <t>KRONOBERGS LÄN</t>
        </is>
      </c>
      <c r="E57" t="inlineStr">
        <is>
          <t>VÄXJÖ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HYPERLINK("https://klasma.github.io/Logging_070780/artfynd/A 18079-2025 artfynd.xlsx", "A 18079-2025")</f>
        <v/>
      </c>
      <c r="T57">
        <f>HYPERLINK("https://klasma.github.io/Logging_070780/kartor/A 18079-2025 karta.png", "A 18079-2025")</f>
        <v/>
      </c>
      <c r="V57">
        <f>HYPERLINK("https://klasma.github.io/Logging_070780/klagomål/A 18079-2025 FSC-klagomål.docx", "A 18079-2025")</f>
        <v/>
      </c>
      <c r="W57">
        <f>HYPERLINK("https://klasma.github.io/Logging_070780/klagomålsmail/A 18079-2025 FSC-klagomål mail.docx", "A 18079-2025")</f>
        <v/>
      </c>
      <c r="X57">
        <f>HYPERLINK("https://klasma.github.io/Logging_070780/tillsyn/A 18079-2025 tillsynsbegäran.docx", "A 18079-2025")</f>
        <v/>
      </c>
      <c r="Y57">
        <f>HYPERLINK("https://klasma.github.io/Logging_070780/tillsynsmail/A 18079-2025 tillsynsbegäran mail.docx", "A 18079-2025")</f>
        <v/>
      </c>
    </row>
    <row r="58" ht="15" customHeight="1">
      <c r="A58" t="inlineStr">
        <is>
          <t>A 21107-2025</t>
        </is>
      </c>
      <c r="B58" s="1" t="n">
        <v>45777</v>
      </c>
      <c r="C58" s="1" t="n">
        <v>45791</v>
      </c>
      <c r="D58" t="inlineStr">
        <is>
          <t>KRONOBERGS LÄN</t>
        </is>
      </c>
      <c r="E58" t="inlineStr">
        <is>
          <t>VÄXJÖ</t>
        </is>
      </c>
      <c r="G58" t="n">
        <v>5.6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Fjällvråk</t>
        </is>
      </c>
      <c r="S58">
        <f>HYPERLINK("https://klasma.github.io/Logging_070780/artfynd/A 21107-2025 artfynd.xlsx", "A 21107-2025")</f>
        <v/>
      </c>
      <c r="T58">
        <f>HYPERLINK("https://klasma.github.io/Logging_070780/kartor/A 21107-2025 karta.png", "A 21107-2025")</f>
        <v/>
      </c>
      <c r="V58">
        <f>HYPERLINK("https://klasma.github.io/Logging_070780/klagomål/A 21107-2025 FSC-klagomål.docx", "A 21107-2025")</f>
        <v/>
      </c>
      <c r="W58">
        <f>HYPERLINK("https://klasma.github.io/Logging_070780/klagomålsmail/A 21107-2025 FSC-klagomål mail.docx", "A 21107-2025")</f>
        <v/>
      </c>
      <c r="X58">
        <f>HYPERLINK("https://klasma.github.io/Logging_070780/tillsyn/A 21107-2025 tillsynsbegäran.docx", "A 21107-2025")</f>
        <v/>
      </c>
      <c r="Y58">
        <f>HYPERLINK("https://klasma.github.io/Logging_070780/tillsynsmail/A 21107-2025 tillsynsbegäran mail.docx", "A 21107-2025")</f>
        <v/>
      </c>
      <c r="Z58">
        <f>HYPERLINK("https://klasma.github.io/Logging_070780/fåglar/A 21107-2025 prioriterade fågelarter.docx", "A 21107-2025")</f>
        <v/>
      </c>
    </row>
    <row r="59" ht="15" customHeight="1">
      <c r="A59" t="inlineStr">
        <is>
          <t>A 21527-2025</t>
        </is>
      </c>
      <c r="B59" s="1" t="n">
        <v>45782</v>
      </c>
      <c r="C59" s="1" t="n">
        <v>45791</v>
      </c>
      <c r="D59" t="inlineStr">
        <is>
          <t>KRONOBERGS LÄN</t>
        </is>
      </c>
      <c r="E59" t="inlineStr">
        <is>
          <t>VÄXJÖ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HYPERLINK("https://klasma.github.io/Logging_070780/artfynd/A 21527-2025 artfynd.xlsx", "A 21527-2025")</f>
        <v/>
      </c>
      <c r="T59">
        <f>HYPERLINK("https://klasma.github.io/Logging_070780/kartor/A 21527-2025 karta.png", "A 21527-2025")</f>
        <v/>
      </c>
      <c r="V59">
        <f>HYPERLINK("https://klasma.github.io/Logging_070780/klagomål/A 21527-2025 FSC-klagomål.docx", "A 21527-2025")</f>
        <v/>
      </c>
      <c r="W59">
        <f>HYPERLINK("https://klasma.github.io/Logging_070780/klagomålsmail/A 21527-2025 FSC-klagomål mail.docx", "A 21527-2025")</f>
        <v/>
      </c>
      <c r="X59">
        <f>HYPERLINK("https://klasma.github.io/Logging_070780/tillsyn/A 21527-2025 tillsynsbegäran.docx", "A 21527-2025")</f>
        <v/>
      </c>
      <c r="Y59">
        <f>HYPERLINK("https://klasma.github.io/Logging_070780/tillsynsmail/A 21527-2025 tillsynsbegäran mail.docx", "A 21527-2025")</f>
        <v/>
      </c>
    </row>
    <row r="60" ht="15" customHeight="1">
      <c r="A60" t="inlineStr">
        <is>
          <t>A 17746-2019</t>
        </is>
      </c>
      <c r="B60" s="1" t="n">
        <v>43556</v>
      </c>
      <c r="C60" s="1" t="n">
        <v>45791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18007-2019</t>
        </is>
      </c>
      <c r="B61" s="1" t="n">
        <v>43557</v>
      </c>
      <c r="C61" s="1" t="n">
        <v>45791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18263-2019</t>
        </is>
      </c>
      <c r="B62" s="1" t="n">
        <v>43558</v>
      </c>
      <c r="C62" s="1" t="n">
        <v>45791</v>
      </c>
      <c r="D62" t="inlineStr">
        <is>
          <t>KRONOBERGS LÄN</t>
        </is>
      </c>
      <c r="E62" t="inlineStr">
        <is>
          <t>VÄXJÖ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19509-2019</t>
        </is>
      </c>
      <c r="B63" s="1" t="n">
        <v>43565</v>
      </c>
      <c r="C63" s="1" t="n">
        <v>45791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19506-2019</t>
        </is>
      </c>
      <c r="B64" s="1" t="n">
        <v>43565</v>
      </c>
      <c r="C64" s="1" t="n">
        <v>45791</v>
      </c>
      <c r="D64" t="inlineStr">
        <is>
          <t>KRONOBERGS LÄN</t>
        </is>
      </c>
      <c r="E64" t="inlineStr">
        <is>
          <t>VÄXJÖ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19687-2019</t>
        </is>
      </c>
      <c r="B65" s="1" t="n">
        <v>43566</v>
      </c>
      <c r="C65" s="1" t="n">
        <v>45791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20598-2019</t>
        </is>
      </c>
      <c r="B66" s="1" t="n">
        <v>43572</v>
      </c>
      <c r="C66" s="1" t="n">
        <v>45791</v>
      </c>
      <c r="D66" t="inlineStr">
        <is>
          <t>KRONOBERGS LÄN</t>
        </is>
      </c>
      <c r="E66" t="inlineStr">
        <is>
          <t>VÄXJÖ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20944-2019</t>
        </is>
      </c>
      <c r="B67" s="1" t="n">
        <v>43578</v>
      </c>
      <c r="C67" s="1" t="n">
        <v>45791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20938-2019</t>
        </is>
      </c>
      <c r="B68" s="1" t="n">
        <v>43578</v>
      </c>
      <c r="C68" s="1" t="n">
        <v>45791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20988-2019</t>
        </is>
      </c>
      <c r="B69" s="1" t="n">
        <v>43578</v>
      </c>
      <c r="C69" s="1" t="n">
        <v>45791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21076-2019</t>
        </is>
      </c>
      <c r="B70" s="1" t="n">
        <v>43578</v>
      </c>
      <c r="C70" s="1" t="n">
        <v>45791</v>
      </c>
      <c r="D70" t="inlineStr">
        <is>
          <t>KRONOBERGS LÄN</t>
        </is>
      </c>
      <c r="E70" t="inlineStr">
        <is>
          <t>VÄXJÖ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21712-2019</t>
        </is>
      </c>
      <c r="B71" s="1" t="n">
        <v>43581</v>
      </c>
      <c r="C71" s="1" t="n">
        <v>45791</v>
      </c>
      <c r="D71" t="inlineStr">
        <is>
          <t>KRONOBERGS LÄN</t>
        </is>
      </c>
      <c r="E71" t="inlineStr">
        <is>
          <t>VÄXJÖ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21665-2019</t>
        </is>
      </c>
      <c r="B72" s="1" t="n">
        <v>43581</v>
      </c>
      <c r="C72" s="1" t="n">
        <v>45791</v>
      </c>
      <c r="D72" t="inlineStr">
        <is>
          <t>KRONOBERGS LÄN</t>
        </is>
      </c>
      <c r="E72" t="inlineStr">
        <is>
          <t>VÄXJÖ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22084-2019</t>
        </is>
      </c>
      <c r="B73" s="1" t="n">
        <v>43584</v>
      </c>
      <c r="C73" s="1" t="n">
        <v>45791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22163-2019</t>
        </is>
      </c>
      <c r="B74" s="1" t="n">
        <v>43585</v>
      </c>
      <c r="C74" s="1" t="n">
        <v>45791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22395-2019</t>
        </is>
      </c>
      <c r="B75" s="1" t="n">
        <v>43585</v>
      </c>
      <c r="C75" s="1" t="n">
        <v>45791</v>
      </c>
      <c r="D75" t="inlineStr">
        <is>
          <t>KRONOBERGS LÄN</t>
        </is>
      </c>
      <c r="E75" t="inlineStr">
        <is>
          <t>VÄXJÖ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22381-2019</t>
        </is>
      </c>
      <c r="B76" s="1" t="n">
        <v>43585</v>
      </c>
      <c r="C76" s="1" t="n">
        <v>45791</v>
      </c>
      <c r="D76" t="inlineStr">
        <is>
          <t>KRONOBERGS LÄN</t>
        </is>
      </c>
      <c r="E76" t="inlineStr">
        <is>
          <t>VÄXJÖ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22397-2019</t>
        </is>
      </c>
      <c r="B77" s="1" t="n">
        <v>43585</v>
      </c>
      <c r="C77" s="1" t="n">
        <v>45791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22346-2019</t>
        </is>
      </c>
      <c r="B78" s="1" t="n">
        <v>43587</v>
      </c>
      <c r="C78" s="1" t="n">
        <v>45791</v>
      </c>
      <c r="D78" t="inlineStr">
        <is>
          <t>KRONOBERGS LÄN</t>
        </is>
      </c>
      <c r="E78" t="inlineStr">
        <is>
          <t>VÄXJÖ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22349-2019</t>
        </is>
      </c>
      <c r="B79" s="1" t="n">
        <v>43587</v>
      </c>
      <c r="C79" s="1" t="n">
        <v>45791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22948-2019</t>
        </is>
      </c>
      <c r="B80" s="1" t="n">
        <v>43591</v>
      </c>
      <c r="C80" s="1" t="n">
        <v>45791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23252-2019</t>
        </is>
      </c>
      <c r="B81" s="1" t="n">
        <v>43592</v>
      </c>
      <c r="C81" s="1" t="n">
        <v>45791</v>
      </c>
      <c r="D81" t="inlineStr">
        <is>
          <t>KRONOBERGS LÄN</t>
        </is>
      </c>
      <c r="E81" t="inlineStr">
        <is>
          <t>VÄXJÖ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23375-2019</t>
        </is>
      </c>
      <c r="B82" s="1" t="n">
        <v>43593</v>
      </c>
      <c r="C82" s="1" t="n">
        <v>45791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23525-2019</t>
        </is>
      </c>
      <c r="B83" s="1" t="n">
        <v>43594</v>
      </c>
      <c r="C83" s="1" t="n">
        <v>45791</v>
      </c>
      <c r="D83" t="inlineStr">
        <is>
          <t>KRONOBERGS LÄN</t>
        </is>
      </c>
      <c r="E83" t="inlineStr">
        <is>
          <t>VÄXJÖ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23776-2019</t>
        </is>
      </c>
      <c r="B84" s="1" t="n">
        <v>43595</v>
      </c>
      <c r="C84" s="1" t="n">
        <v>45791</v>
      </c>
      <c r="D84" t="inlineStr">
        <is>
          <t>KRONOBERGS LÄN</t>
        </is>
      </c>
      <c r="E84" t="inlineStr">
        <is>
          <t>VÄXJÖ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23882-2019</t>
        </is>
      </c>
      <c r="B85" s="1" t="n">
        <v>43595</v>
      </c>
      <c r="C85" s="1" t="n">
        <v>45791</v>
      </c>
      <c r="D85" t="inlineStr">
        <is>
          <t>KRONOBERGS LÄN</t>
        </is>
      </c>
      <c r="E85" t="inlineStr">
        <is>
          <t>VÄXJÖ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23983-2019</t>
        </is>
      </c>
      <c r="B86" s="1" t="n">
        <v>43598</v>
      </c>
      <c r="C86" s="1" t="n">
        <v>45791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24055-2019</t>
        </is>
      </c>
      <c r="B87" s="1" t="n">
        <v>43598</v>
      </c>
      <c r="C87" s="1" t="n">
        <v>45791</v>
      </c>
      <c r="D87" t="inlineStr">
        <is>
          <t>KRONOBERGS LÄN</t>
        </is>
      </c>
      <c r="E87" t="inlineStr">
        <is>
          <t>VÄXJÖ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24748-2019</t>
        </is>
      </c>
      <c r="B88" s="1" t="n">
        <v>43601</v>
      </c>
      <c r="C88" s="1" t="n">
        <v>45791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25843-2019</t>
        </is>
      </c>
      <c r="B89" s="1" t="n">
        <v>43605</v>
      </c>
      <c r="C89" s="1" t="n">
        <v>45791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26478-2019</t>
        </is>
      </c>
      <c r="B90" s="1" t="n">
        <v>43607</v>
      </c>
      <c r="C90" s="1" t="n">
        <v>45791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26466-2019</t>
        </is>
      </c>
      <c r="B91" s="1" t="n">
        <v>43607</v>
      </c>
      <c r="C91" s="1" t="n">
        <v>45791</v>
      </c>
      <c r="D91" t="inlineStr">
        <is>
          <t>KRONOBERGS LÄN</t>
        </is>
      </c>
      <c r="E91" t="inlineStr">
        <is>
          <t>VÄXJÖ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26494-2019</t>
        </is>
      </c>
      <c r="B92" s="1" t="n">
        <v>43607</v>
      </c>
      <c r="C92" s="1" t="n">
        <v>45791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25735-2019</t>
        </is>
      </c>
      <c r="B93" s="1" t="n">
        <v>43608</v>
      </c>
      <c r="C93" s="1" t="n">
        <v>45791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27614-2019</t>
        </is>
      </c>
      <c r="B94" s="1" t="n">
        <v>43619</v>
      </c>
      <c r="C94" s="1" t="n">
        <v>45791</v>
      </c>
      <c r="D94" t="inlineStr">
        <is>
          <t>KRONOBERGS LÄN</t>
        </is>
      </c>
      <c r="E94" t="inlineStr">
        <is>
          <t>VÄXJÖ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27704-2019</t>
        </is>
      </c>
      <c r="B95" s="1" t="n">
        <v>43619</v>
      </c>
      <c r="C95" s="1" t="n">
        <v>45791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27568-2019</t>
        </is>
      </c>
      <c r="B96" s="1" t="n">
        <v>43619</v>
      </c>
      <c r="C96" s="1" t="n">
        <v>45791</v>
      </c>
      <c r="D96" t="inlineStr">
        <is>
          <t>KRONOBERGS LÄN</t>
        </is>
      </c>
      <c r="E96" t="inlineStr">
        <is>
          <t>VÄXJÖ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27919-2019</t>
        </is>
      </c>
      <c r="B97" s="1" t="n">
        <v>43620</v>
      </c>
      <c r="C97" s="1" t="n">
        <v>45791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27913-2019</t>
        </is>
      </c>
      <c r="B98" s="1" t="n">
        <v>43620</v>
      </c>
      <c r="C98" s="1" t="n">
        <v>45791</v>
      </c>
      <c r="D98" t="inlineStr">
        <is>
          <t>KRONOBERGS LÄN</t>
        </is>
      </c>
      <c r="E98" t="inlineStr">
        <is>
          <t>VÄXJÖ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27936-2019</t>
        </is>
      </c>
      <c r="B99" s="1" t="n">
        <v>43620</v>
      </c>
      <c r="C99" s="1" t="n">
        <v>45791</v>
      </c>
      <c r="D99" t="inlineStr">
        <is>
          <t>KRONOBERGS LÄN</t>
        </is>
      </c>
      <c r="E99" t="inlineStr">
        <is>
          <t>VÄXJÖ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27940-2019</t>
        </is>
      </c>
      <c r="B100" s="1" t="n">
        <v>43620</v>
      </c>
      <c r="C100" s="1" t="n">
        <v>45791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28556-2019</t>
        </is>
      </c>
      <c r="B101" s="1" t="n">
        <v>43626</v>
      </c>
      <c r="C101" s="1" t="n">
        <v>45791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28728-2019</t>
        </is>
      </c>
      <c r="B102" s="1" t="n">
        <v>43627</v>
      </c>
      <c r="C102" s="1" t="n">
        <v>45791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29353-2019</t>
        </is>
      </c>
      <c r="B103" s="1" t="n">
        <v>43629</v>
      </c>
      <c r="C103" s="1" t="n">
        <v>45791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30642-2019</t>
        </is>
      </c>
      <c r="B104" s="1" t="n">
        <v>43636</v>
      </c>
      <c r="C104" s="1" t="n">
        <v>45791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31003-2019</t>
        </is>
      </c>
      <c r="B105" s="1" t="n">
        <v>43640</v>
      </c>
      <c r="C105" s="1" t="n">
        <v>45791</v>
      </c>
      <c r="D105" t="inlineStr">
        <is>
          <t>KRONOBERGS LÄN</t>
        </is>
      </c>
      <c r="E105" t="inlineStr">
        <is>
          <t>VÄXJÖ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31484-2019</t>
        </is>
      </c>
      <c r="B106" s="1" t="n">
        <v>43641</v>
      </c>
      <c r="C106" s="1" t="n">
        <v>45791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31339-2019</t>
        </is>
      </c>
      <c r="B107" s="1" t="n">
        <v>43641</v>
      </c>
      <c r="C107" s="1" t="n">
        <v>45791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31550-2019</t>
        </is>
      </c>
      <c r="B108" s="1" t="n">
        <v>43641</v>
      </c>
      <c r="C108" s="1" t="n">
        <v>45791</v>
      </c>
      <c r="D108" t="inlineStr">
        <is>
          <t>KRONOBERGS LÄN</t>
        </is>
      </c>
      <c r="E108" t="inlineStr">
        <is>
          <t>VÄXJÖ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31505-2019</t>
        </is>
      </c>
      <c r="B109" s="1" t="n">
        <v>43641</v>
      </c>
      <c r="C109" s="1" t="n">
        <v>45791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31797-2019</t>
        </is>
      </c>
      <c r="B110" s="1" t="n">
        <v>43642</v>
      </c>
      <c r="C110" s="1" t="n">
        <v>45791</v>
      </c>
      <c r="D110" t="inlineStr">
        <is>
          <t>KRONOBERGS LÄN</t>
        </is>
      </c>
      <c r="E110" t="inlineStr">
        <is>
          <t>VÄXJÖ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31799-2019</t>
        </is>
      </c>
      <c r="B111" s="1" t="n">
        <v>43642</v>
      </c>
      <c r="C111" s="1" t="n">
        <v>45791</v>
      </c>
      <c r="D111" t="inlineStr">
        <is>
          <t>KRONOBERGS LÄN</t>
        </is>
      </c>
      <c r="E111" t="inlineStr">
        <is>
          <t>VÄXJÖ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31946-2019</t>
        </is>
      </c>
      <c r="B112" s="1" t="n">
        <v>43643</v>
      </c>
      <c r="C112" s="1" t="n">
        <v>45791</v>
      </c>
      <c r="D112" t="inlineStr">
        <is>
          <t>KRONOBERGS LÄN</t>
        </is>
      </c>
      <c r="E112" t="inlineStr">
        <is>
          <t>VÄXJÖ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31999-2019</t>
        </is>
      </c>
      <c r="B113" s="1" t="n">
        <v>43643</v>
      </c>
      <c r="C113" s="1" t="n">
        <v>45791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31928-2019</t>
        </is>
      </c>
      <c r="B114" s="1" t="n">
        <v>43643</v>
      </c>
      <c r="C114" s="1" t="n">
        <v>45791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31943-2019</t>
        </is>
      </c>
      <c r="B115" s="1" t="n">
        <v>43643</v>
      </c>
      <c r="C115" s="1" t="n">
        <v>45791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32063-2019</t>
        </is>
      </c>
      <c r="B116" s="1" t="n">
        <v>43643</v>
      </c>
      <c r="C116" s="1" t="n">
        <v>45791</v>
      </c>
      <c r="D116" t="inlineStr">
        <is>
          <t>KRONOBERGS LÄN</t>
        </is>
      </c>
      <c r="E116" t="inlineStr">
        <is>
          <t>VÄXJÖ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32518-2019</t>
        </is>
      </c>
      <c r="B117" s="1" t="n">
        <v>43646</v>
      </c>
      <c r="C117" s="1" t="n">
        <v>45791</v>
      </c>
      <c r="D117" t="inlineStr">
        <is>
          <t>KRONOBERGS LÄN</t>
        </is>
      </c>
      <c r="E117" t="inlineStr">
        <is>
          <t>VÄXJÖ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32598-2019</t>
        </is>
      </c>
      <c r="B118" s="1" t="n">
        <v>43647</v>
      </c>
      <c r="C118" s="1" t="n">
        <v>45791</v>
      </c>
      <c r="D118" t="inlineStr">
        <is>
          <t>KRONOBERGS LÄN</t>
        </is>
      </c>
      <c r="E118" t="inlineStr">
        <is>
          <t>VÄXJÖ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32605-2019</t>
        </is>
      </c>
      <c r="B119" s="1" t="n">
        <v>43647</v>
      </c>
      <c r="C119" s="1" t="n">
        <v>45791</v>
      </c>
      <c r="D119" t="inlineStr">
        <is>
          <t>KRONOBERGS LÄN</t>
        </is>
      </c>
      <c r="E119" t="inlineStr">
        <is>
          <t>VÄXJÖ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33152-2019</t>
        </is>
      </c>
      <c r="B120" s="1" t="n">
        <v>43649</v>
      </c>
      <c r="C120" s="1" t="n">
        <v>45791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33139-2019</t>
        </is>
      </c>
      <c r="B121" s="1" t="n">
        <v>43649</v>
      </c>
      <c r="C121" s="1" t="n">
        <v>45791</v>
      </c>
      <c r="D121" t="inlineStr">
        <is>
          <t>KRONOBERGS LÄN</t>
        </is>
      </c>
      <c r="E121" t="inlineStr">
        <is>
          <t>VÄXJÖ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33022-2019</t>
        </is>
      </c>
      <c r="B122" s="1" t="n">
        <v>43649</v>
      </c>
      <c r="C122" s="1" t="n">
        <v>45791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33286-2019</t>
        </is>
      </c>
      <c r="B123" s="1" t="n">
        <v>43650</v>
      </c>
      <c r="C123" s="1" t="n">
        <v>45791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33487-2019</t>
        </is>
      </c>
      <c r="B124" s="1" t="n">
        <v>43651</v>
      </c>
      <c r="C124" s="1" t="n">
        <v>45791</v>
      </c>
      <c r="D124" t="inlineStr">
        <is>
          <t>KRONOBERGS LÄN</t>
        </is>
      </c>
      <c r="E124" t="inlineStr">
        <is>
          <t>VÄXJÖ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33896-2019</t>
        </is>
      </c>
      <c r="B125" s="1" t="n">
        <v>43653</v>
      </c>
      <c r="C125" s="1" t="n">
        <v>45791</v>
      </c>
      <c r="D125" t="inlineStr">
        <is>
          <t>KRONOBERGS LÄN</t>
        </is>
      </c>
      <c r="E125" t="inlineStr">
        <is>
          <t>VÄXJÖ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33897-2019</t>
        </is>
      </c>
      <c r="B126" s="1" t="n">
        <v>43653</v>
      </c>
      <c r="C126" s="1" t="n">
        <v>45791</v>
      </c>
      <c r="D126" t="inlineStr">
        <is>
          <t>KRONOBERGS LÄN</t>
        </is>
      </c>
      <c r="E126" t="inlineStr">
        <is>
          <t>VÄXJÖ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33970-2019</t>
        </is>
      </c>
      <c r="B127" s="1" t="n">
        <v>43654</v>
      </c>
      <c r="C127" s="1" t="n">
        <v>45791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34200-2019</t>
        </is>
      </c>
      <c r="B128" s="1" t="n">
        <v>43655</v>
      </c>
      <c r="C128" s="1" t="n">
        <v>45791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35640-2019</t>
        </is>
      </c>
      <c r="B129" s="1" t="n">
        <v>43655</v>
      </c>
      <c r="C129" s="1" t="n">
        <v>45791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35305-2019</t>
        </is>
      </c>
      <c r="B130" s="1" t="n">
        <v>43662</v>
      </c>
      <c r="C130" s="1" t="n">
        <v>45791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35476-2019</t>
        </is>
      </c>
      <c r="B131" s="1" t="n">
        <v>43663</v>
      </c>
      <c r="C131" s="1" t="n">
        <v>45791</v>
      </c>
      <c r="D131" t="inlineStr">
        <is>
          <t>KRONOBERGS LÄN</t>
        </is>
      </c>
      <c r="E131" t="inlineStr">
        <is>
          <t>VÄXJÖ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35473-2019</t>
        </is>
      </c>
      <c r="B132" s="1" t="n">
        <v>43663</v>
      </c>
      <c r="C132" s="1" t="n">
        <v>45791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36264-2019</t>
        </is>
      </c>
      <c r="B133" s="1" t="n">
        <v>43669</v>
      </c>
      <c r="C133" s="1" t="n">
        <v>45791</v>
      </c>
      <c r="D133" t="inlineStr">
        <is>
          <t>KRONOBERGS LÄN</t>
        </is>
      </c>
      <c r="E133" t="inlineStr">
        <is>
          <t>VÄXJÖ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36294-2019</t>
        </is>
      </c>
      <c r="B134" s="1" t="n">
        <v>43669</v>
      </c>
      <c r="C134" s="1" t="n">
        <v>45791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36406-2019</t>
        </is>
      </c>
      <c r="B135" s="1" t="n">
        <v>43670</v>
      </c>
      <c r="C135" s="1" t="n">
        <v>45791</v>
      </c>
      <c r="D135" t="inlineStr">
        <is>
          <t>KRONOBERGS LÄN</t>
        </is>
      </c>
      <c r="E135" t="inlineStr">
        <is>
          <t>VÄXJÖ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36396-2019</t>
        </is>
      </c>
      <c r="B136" s="1" t="n">
        <v>43670</v>
      </c>
      <c r="C136" s="1" t="n">
        <v>45791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36431-2019</t>
        </is>
      </c>
      <c r="B137" s="1" t="n">
        <v>43670</v>
      </c>
      <c r="C137" s="1" t="n">
        <v>45791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36801-2019</t>
        </is>
      </c>
      <c r="B138" s="1" t="n">
        <v>43672</v>
      </c>
      <c r="C138" s="1" t="n">
        <v>45791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36846-2019</t>
        </is>
      </c>
      <c r="B139" s="1" t="n">
        <v>43675</v>
      </c>
      <c r="C139" s="1" t="n">
        <v>45791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36979-2019</t>
        </is>
      </c>
      <c r="B140" s="1" t="n">
        <v>43676</v>
      </c>
      <c r="C140" s="1" t="n">
        <v>45791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37619-2019</t>
        </is>
      </c>
      <c r="B141" s="1" t="n">
        <v>43681</v>
      </c>
      <c r="C141" s="1" t="n">
        <v>45791</v>
      </c>
      <c r="D141" t="inlineStr">
        <is>
          <t>KRONOBERGS LÄN</t>
        </is>
      </c>
      <c r="E141" t="inlineStr">
        <is>
          <t>VÄXJÖ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37667-2019</t>
        </is>
      </c>
      <c r="B142" s="1" t="n">
        <v>43682</v>
      </c>
      <c r="C142" s="1" t="n">
        <v>45791</v>
      </c>
      <c r="D142" t="inlineStr">
        <is>
          <t>KRONOBERGS LÄN</t>
        </is>
      </c>
      <c r="E142" t="inlineStr">
        <is>
          <t>VÄXJÖ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38193-2019</t>
        </is>
      </c>
      <c r="B143" s="1" t="n">
        <v>43684</v>
      </c>
      <c r="C143" s="1" t="n">
        <v>45791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38717-2019</t>
        </is>
      </c>
      <c r="B144" s="1" t="n">
        <v>43686</v>
      </c>
      <c r="C144" s="1" t="n">
        <v>45791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38745-2019</t>
        </is>
      </c>
      <c r="B145" s="1" t="n">
        <v>43686</v>
      </c>
      <c r="C145" s="1" t="n">
        <v>45791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38792-2019</t>
        </is>
      </c>
      <c r="B146" s="1" t="n">
        <v>43688</v>
      </c>
      <c r="C146" s="1" t="n">
        <v>45791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38802-2019</t>
        </is>
      </c>
      <c r="B147" s="1" t="n">
        <v>43688</v>
      </c>
      <c r="C147" s="1" t="n">
        <v>45791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40064-2019</t>
        </is>
      </c>
      <c r="B148" s="1" t="n">
        <v>43693</v>
      </c>
      <c r="C148" s="1" t="n">
        <v>45791</v>
      </c>
      <c r="D148" t="inlineStr">
        <is>
          <t>KRONOBERGS LÄN</t>
        </is>
      </c>
      <c r="E148" t="inlineStr">
        <is>
          <t>VÄXJÖ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40008-2019</t>
        </is>
      </c>
      <c r="B149" s="1" t="n">
        <v>43693</v>
      </c>
      <c r="C149" s="1" t="n">
        <v>45791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40340-2019</t>
        </is>
      </c>
      <c r="B150" s="1" t="n">
        <v>43696</v>
      </c>
      <c r="C150" s="1" t="n">
        <v>45791</v>
      </c>
      <c r="D150" t="inlineStr">
        <is>
          <t>KRONOBERGS LÄN</t>
        </is>
      </c>
      <c r="E150" t="inlineStr">
        <is>
          <t>VÄXJÖ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41072-2019</t>
        </is>
      </c>
      <c r="B151" s="1" t="n">
        <v>43698</v>
      </c>
      <c r="C151" s="1" t="n">
        <v>45791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42090-2019</t>
        </is>
      </c>
      <c r="B152" s="1" t="n">
        <v>43701</v>
      </c>
      <c r="C152" s="1" t="n">
        <v>45791</v>
      </c>
      <c r="D152" t="inlineStr">
        <is>
          <t>KRONOBERGS LÄN</t>
        </is>
      </c>
      <c r="E152" t="inlineStr">
        <is>
          <t>VÄXJÖ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42387-2019</t>
        </is>
      </c>
      <c r="B153" s="1" t="n">
        <v>43703</v>
      </c>
      <c r="C153" s="1" t="n">
        <v>45791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42391-2019</t>
        </is>
      </c>
      <c r="B154" s="1" t="n">
        <v>43703</v>
      </c>
      <c r="C154" s="1" t="n">
        <v>45791</v>
      </c>
      <c r="D154" t="inlineStr">
        <is>
          <t>KRONOBERGS LÄN</t>
        </is>
      </c>
      <c r="E154" t="inlineStr">
        <is>
          <t>VÄXJÖ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42960-2019</t>
        </is>
      </c>
      <c r="B155" s="1" t="n">
        <v>43705</v>
      </c>
      <c r="C155" s="1" t="n">
        <v>45791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44390-2019</t>
        </is>
      </c>
      <c r="B156" s="1" t="n">
        <v>43705</v>
      </c>
      <c r="C156" s="1" t="n">
        <v>45791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42944-2019</t>
        </is>
      </c>
      <c r="B157" s="1" t="n">
        <v>43705</v>
      </c>
      <c r="C157" s="1" t="n">
        <v>45791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43244-2019</t>
        </is>
      </c>
      <c r="B158" s="1" t="n">
        <v>43706</v>
      </c>
      <c r="C158" s="1" t="n">
        <v>45791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43457-2019</t>
        </is>
      </c>
      <c r="B159" s="1" t="n">
        <v>43706</v>
      </c>
      <c r="C159" s="1" t="n">
        <v>45791</v>
      </c>
      <c r="D159" t="inlineStr">
        <is>
          <t>KRONOBERGS LÄN</t>
        </is>
      </c>
      <c r="E159" t="inlineStr">
        <is>
          <t>VÄXJÖ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43456-2019</t>
        </is>
      </c>
      <c r="B160" s="1" t="n">
        <v>43706</v>
      </c>
      <c r="C160" s="1" t="n">
        <v>45791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43454-2019</t>
        </is>
      </c>
      <c r="B161" s="1" t="n">
        <v>43706</v>
      </c>
      <c r="C161" s="1" t="n">
        <v>45791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43698-2019</t>
        </is>
      </c>
      <c r="B162" s="1" t="n">
        <v>43707</v>
      </c>
      <c r="C162" s="1" t="n">
        <v>45791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43914-2019</t>
        </is>
      </c>
      <c r="B163" s="1" t="n">
        <v>43707</v>
      </c>
      <c r="C163" s="1" t="n">
        <v>45791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43876-2019</t>
        </is>
      </c>
      <c r="B164" s="1" t="n">
        <v>43707</v>
      </c>
      <c r="C164" s="1" t="n">
        <v>45791</v>
      </c>
      <c r="D164" t="inlineStr">
        <is>
          <t>KRONOBERGS LÄN</t>
        </is>
      </c>
      <c r="E164" t="inlineStr">
        <is>
          <t>VÄXJÖ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43852-2019</t>
        </is>
      </c>
      <c r="B165" s="1" t="n">
        <v>43707</v>
      </c>
      <c r="C165" s="1" t="n">
        <v>45791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43877-2019</t>
        </is>
      </c>
      <c r="B166" s="1" t="n">
        <v>43707</v>
      </c>
      <c r="C166" s="1" t="n">
        <v>45791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43964-2019</t>
        </is>
      </c>
      <c r="B167" s="1" t="n">
        <v>43708</v>
      </c>
      <c r="C167" s="1" t="n">
        <v>45791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43965-2019</t>
        </is>
      </c>
      <c r="B168" s="1" t="n">
        <v>43708</v>
      </c>
      <c r="C168" s="1" t="n">
        <v>45791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44023-2019</t>
        </is>
      </c>
      <c r="B169" s="1" t="n">
        <v>43710</v>
      </c>
      <c r="C169" s="1" t="n">
        <v>45791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44506-2019</t>
        </is>
      </c>
      <c r="B170" s="1" t="n">
        <v>43711</v>
      </c>
      <c r="C170" s="1" t="n">
        <v>45791</v>
      </c>
      <c r="D170" t="inlineStr">
        <is>
          <t>KRONOBERGS LÄN</t>
        </is>
      </c>
      <c r="E170" t="inlineStr">
        <is>
          <t>VÄXJÖ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44444-2019</t>
        </is>
      </c>
      <c r="B171" s="1" t="n">
        <v>43711</v>
      </c>
      <c r="C171" s="1" t="n">
        <v>45791</v>
      </c>
      <c r="D171" t="inlineStr">
        <is>
          <t>KRONOBERGS LÄN</t>
        </is>
      </c>
      <c r="E171" t="inlineStr">
        <is>
          <t>VÄXJÖ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44588-2019</t>
        </is>
      </c>
      <c r="B172" s="1" t="n">
        <v>43711</v>
      </c>
      <c r="C172" s="1" t="n">
        <v>45791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44511-2019</t>
        </is>
      </c>
      <c r="B173" s="1" t="n">
        <v>43711</v>
      </c>
      <c r="C173" s="1" t="n">
        <v>45791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45279-2019</t>
        </is>
      </c>
      <c r="B174" s="1" t="n">
        <v>43714</v>
      </c>
      <c r="C174" s="1" t="n">
        <v>45791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45330-2019</t>
        </is>
      </c>
      <c r="B175" s="1" t="n">
        <v>43714</v>
      </c>
      <c r="C175" s="1" t="n">
        <v>45791</v>
      </c>
      <c r="D175" t="inlineStr">
        <is>
          <t>KRONOBERGS LÄN</t>
        </is>
      </c>
      <c r="E175" t="inlineStr">
        <is>
          <t>VÄXJÖ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45409-2019</t>
        </is>
      </c>
      <c r="B176" s="1" t="n">
        <v>43714</v>
      </c>
      <c r="C176" s="1" t="n">
        <v>45791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45559-2019</t>
        </is>
      </c>
      <c r="B177" s="1" t="n">
        <v>43715</v>
      </c>
      <c r="C177" s="1" t="n">
        <v>45791</v>
      </c>
      <c r="D177" t="inlineStr">
        <is>
          <t>KRONOBERGS LÄN</t>
        </is>
      </c>
      <c r="E177" t="inlineStr">
        <is>
          <t>VÄXJÖ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45562-2019</t>
        </is>
      </c>
      <c r="B178" s="1" t="n">
        <v>43715</v>
      </c>
      <c r="C178" s="1" t="n">
        <v>45791</v>
      </c>
      <c r="D178" t="inlineStr">
        <is>
          <t>KRONOBERGS LÄN</t>
        </is>
      </c>
      <c r="E178" t="inlineStr">
        <is>
          <t>VÄXJÖ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45760-2019</t>
        </is>
      </c>
      <c r="B179" s="1" t="n">
        <v>43717</v>
      </c>
      <c r="C179" s="1" t="n">
        <v>45791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45606-2019</t>
        </is>
      </c>
      <c r="B180" s="1" t="n">
        <v>43717</v>
      </c>
      <c r="C180" s="1" t="n">
        <v>45791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46322-2019</t>
        </is>
      </c>
      <c r="B181" s="1" t="n">
        <v>43718</v>
      </c>
      <c r="C181" s="1" t="n">
        <v>45791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45967-2019</t>
        </is>
      </c>
      <c r="B182" s="1" t="n">
        <v>43718</v>
      </c>
      <c r="C182" s="1" t="n">
        <v>45791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46410-2019</t>
        </is>
      </c>
      <c r="B183" s="1" t="n">
        <v>43719</v>
      </c>
      <c r="C183" s="1" t="n">
        <v>45791</v>
      </c>
      <c r="D183" t="inlineStr">
        <is>
          <t>KRONOBERGS LÄN</t>
        </is>
      </c>
      <c r="E183" t="inlineStr">
        <is>
          <t>VÄXJÖ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46436-2019</t>
        </is>
      </c>
      <c r="B184" s="1" t="n">
        <v>43719</v>
      </c>
      <c r="C184" s="1" t="n">
        <v>45791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46778-2019</t>
        </is>
      </c>
      <c r="B185" s="1" t="n">
        <v>43720</v>
      </c>
      <c r="C185" s="1" t="n">
        <v>45791</v>
      </c>
      <c r="D185" t="inlineStr">
        <is>
          <t>KRONOBERGS LÄN</t>
        </is>
      </c>
      <c r="E185" t="inlineStr">
        <is>
          <t>VÄXJÖ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46750-2019</t>
        </is>
      </c>
      <c r="B186" s="1" t="n">
        <v>43720</v>
      </c>
      <c r="C186" s="1" t="n">
        <v>45791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47043-2019</t>
        </is>
      </c>
      <c r="B187" s="1" t="n">
        <v>43720</v>
      </c>
      <c r="C187" s="1" t="n">
        <v>45791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47328-2019</t>
        </is>
      </c>
      <c r="B188" s="1" t="n">
        <v>43721</v>
      </c>
      <c r="C188" s="1" t="n">
        <v>45791</v>
      </c>
      <c r="D188" t="inlineStr">
        <is>
          <t>KRONOBERGS LÄN</t>
        </is>
      </c>
      <c r="E188" t="inlineStr">
        <is>
          <t>VÄXJÖ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47376-2019</t>
        </is>
      </c>
      <c r="B189" s="1" t="n">
        <v>43721</v>
      </c>
      <c r="C189" s="1" t="n">
        <v>45791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47679-2019</t>
        </is>
      </c>
      <c r="B190" s="1" t="n">
        <v>43724</v>
      </c>
      <c r="C190" s="1" t="n">
        <v>45791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47826-2019</t>
        </is>
      </c>
      <c r="B191" s="1" t="n">
        <v>43724</v>
      </c>
      <c r="C191" s="1" t="n">
        <v>45791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47955-2019</t>
        </is>
      </c>
      <c r="B192" s="1" t="n">
        <v>43725</v>
      </c>
      <c r="C192" s="1" t="n">
        <v>45791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47853-2019</t>
        </is>
      </c>
      <c r="B193" s="1" t="n">
        <v>43725</v>
      </c>
      <c r="C193" s="1" t="n">
        <v>45791</v>
      </c>
      <c r="D193" t="inlineStr">
        <is>
          <t>KRONOBERGS LÄN</t>
        </is>
      </c>
      <c r="E193" t="inlineStr">
        <is>
          <t>VÄXJÖ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48079-2019</t>
        </is>
      </c>
      <c r="B194" s="1" t="n">
        <v>43725</v>
      </c>
      <c r="C194" s="1" t="n">
        <v>45791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48055-2019</t>
        </is>
      </c>
      <c r="B195" s="1" t="n">
        <v>43725</v>
      </c>
      <c r="C195" s="1" t="n">
        <v>45791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48442-2019</t>
        </is>
      </c>
      <c r="B196" s="1" t="n">
        <v>43727</v>
      </c>
      <c r="C196" s="1" t="n">
        <v>45791</v>
      </c>
      <c r="D196" t="inlineStr">
        <is>
          <t>KRONOBERGS LÄN</t>
        </is>
      </c>
      <c r="E196" t="inlineStr">
        <is>
          <t>VÄXJÖ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49285-2019</t>
        </is>
      </c>
      <c r="B197" s="1" t="n">
        <v>43731</v>
      </c>
      <c r="C197" s="1" t="n">
        <v>45791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49564-2019</t>
        </is>
      </c>
      <c r="B198" s="1" t="n">
        <v>43732</v>
      </c>
      <c r="C198" s="1" t="n">
        <v>45791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49566-2019</t>
        </is>
      </c>
      <c r="B199" s="1" t="n">
        <v>43732</v>
      </c>
      <c r="C199" s="1" t="n">
        <v>45791</v>
      </c>
      <c r="D199" t="inlineStr">
        <is>
          <t>KRONOBERGS LÄN</t>
        </is>
      </c>
      <c r="E199" t="inlineStr">
        <is>
          <t>VÄXJÖ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49627-2019</t>
        </is>
      </c>
      <c r="B200" s="1" t="n">
        <v>43732</v>
      </c>
      <c r="C200" s="1" t="n">
        <v>45791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49843-2019</t>
        </is>
      </c>
      <c r="B201" s="1" t="n">
        <v>43733</v>
      </c>
      <c r="C201" s="1" t="n">
        <v>45791</v>
      </c>
      <c r="D201" t="inlineStr">
        <is>
          <t>KRONOBERGS LÄN</t>
        </is>
      </c>
      <c r="E201" t="inlineStr">
        <is>
          <t>VÄXJÖ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49940-2019</t>
        </is>
      </c>
      <c r="B202" s="1" t="n">
        <v>43733</v>
      </c>
      <c r="C202" s="1" t="n">
        <v>45791</v>
      </c>
      <c r="D202" t="inlineStr">
        <is>
          <t>KRONOBERGS LÄN</t>
        </is>
      </c>
      <c r="E202" t="inlineStr">
        <is>
          <t>VÄXJÖ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49897-2019</t>
        </is>
      </c>
      <c r="B203" s="1" t="n">
        <v>43733</v>
      </c>
      <c r="C203" s="1" t="n">
        <v>45791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52805-2019</t>
        </is>
      </c>
      <c r="B204" s="1" t="n">
        <v>43739</v>
      </c>
      <c r="C204" s="1" t="n">
        <v>45791</v>
      </c>
      <c r="D204" t="inlineStr">
        <is>
          <t>KRONOBERGS LÄN</t>
        </is>
      </c>
      <c r="E204" t="inlineStr">
        <is>
          <t>VÄXJÖ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51911-2019</t>
        </is>
      </c>
      <c r="B205" s="1" t="n">
        <v>43741</v>
      </c>
      <c r="C205" s="1" t="n">
        <v>45791</v>
      </c>
      <c r="D205" t="inlineStr">
        <is>
          <t>KRONOBERGS LÄN</t>
        </is>
      </c>
      <c r="E205" t="inlineStr">
        <is>
          <t>VÄXJÖ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51915-2019</t>
        </is>
      </c>
      <c r="B206" s="1" t="n">
        <v>43741</v>
      </c>
      <c r="C206" s="1" t="n">
        <v>45791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54033-2019</t>
        </is>
      </c>
      <c r="B207" s="1" t="n">
        <v>43745</v>
      </c>
      <c r="C207" s="1" t="n">
        <v>45791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54153-2019</t>
        </is>
      </c>
      <c r="B208" s="1" t="n">
        <v>43745</v>
      </c>
      <c r="C208" s="1" t="n">
        <v>45791</v>
      </c>
      <c r="D208" t="inlineStr">
        <is>
          <t>KRONOBERGS LÄN</t>
        </is>
      </c>
      <c r="E208" t="inlineStr">
        <is>
          <t>VÄXJÖ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52822-2019</t>
        </is>
      </c>
      <c r="B209" s="1" t="n">
        <v>43746</v>
      </c>
      <c r="C209" s="1" t="n">
        <v>45791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52843-2019</t>
        </is>
      </c>
      <c r="B210" s="1" t="n">
        <v>43746</v>
      </c>
      <c r="C210" s="1" t="n">
        <v>45791</v>
      </c>
      <c r="D210" t="inlineStr">
        <is>
          <t>KRONOBERGS LÄN</t>
        </is>
      </c>
      <c r="E210" t="inlineStr">
        <is>
          <t>VÄXJÖ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53583-2019</t>
        </is>
      </c>
      <c r="B211" s="1" t="n">
        <v>43749</v>
      </c>
      <c r="C211" s="1" t="n">
        <v>45791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53566-2019</t>
        </is>
      </c>
      <c r="B212" s="1" t="n">
        <v>43749</v>
      </c>
      <c r="C212" s="1" t="n">
        <v>45791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53902-2019</t>
        </is>
      </c>
      <c r="B213" s="1" t="n">
        <v>43752</v>
      </c>
      <c r="C213" s="1" t="n">
        <v>45791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53956-2019</t>
        </is>
      </c>
      <c r="B214" s="1" t="n">
        <v>43752</v>
      </c>
      <c r="C214" s="1" t="n">
        <v>45791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53897-2019</t>
        </is>
      </c>
      <c r="B215" s="1" t="n">
        <v>43752</v>
      </c>
      <c r="C215" s="1" t="n">
        <v>45791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55044-2019</t>
        </is>
      </c>
      <c r="B216" s="1" t="n">
        <v>43756</v>
      </c>
      <c r="C216" s="1" t="n">
        <v>45791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55041-2019</t>
        </is>
      </c>
      <c r="B217" s="1" t="n">
        <v>43756</v>
      </c>
      <c r="C217" s="1" t="n">
        <v>45791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55542-2019</t>
        </is>
      </c>
      <c r="B218" s="1" t="n">
        <v>43756</v>
      </c>
      <c r="C218" s="1" t="n">
        <v>45791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55429-2019</t>
        </is>
      </c>
      <c r="B219" s="1" t="n">
        <v>43756</v>
      </c>
      <c r="C219" s="1" t="n">
        <v>45791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55042-2019</t>
        </is>
      </c>
      <c r="B220" s="1" t="n">
        <v>43756</v>
      </c>
      <c r="C220" s="1" t="n">
        <v>45791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55994-2019</t>
        </is>
      </c>
      <c r="B221" s="1" t="n">
        <v>43761</v>
      </c>
      <c r="C221" s="1" t="n">
        <v>45791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56775-2019</t>
        </is>
      </c>
      <c r="B222" s="1" t="n">
        <v>43763</v>
      </c>
      <c r="C222" s="1" t="n">
        <v>45791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56771-2019</t>
        </is>
      </c>
      <c r="B223" s="1" t="n">
        <v>43763</v>
      </c>
      <c r="C223" s="1" t="n">
        <v>45791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58529-2019</t>
        </is>
      </c>
      <c r="B224" s="1" t="n">
        <v>43766</v>
      </c>
      <c r="C224" s="1" t="n">
        <v>45791</v>
      </c>
      <c r="D224" t="inlineStr">
        <is>
          <t>KRONOBERGS LÄN</t>
        </is>
      </c>
      <c r="E224" t="inlineStr">
        <is>
          <t>VÄXJÖ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57544-2019</t>
        </is>
      </c>
      <c r="B225" s="1" t="n">
        <v>43767</v>
      </c>
      <c r="C225" s="1" t="n">
        <v>45791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57383-2019</t>
        </is>
      </c>
      <c r="B226" s="1" t="n">
        <v>43767</v>
      </c>
      <c r="C226" s="1" t="n">
        <v>45791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57681-2019</t>
        </is>
      </c>
      <c r="B227" s="1" t="n">
        <v>43768</v>
      </c>
      <c r="C227" s="1" t="n">
        <v>45791</v>
      </c>
      <c r="D227" t="inlineStr">
        <is>
          <t>KRONOBERGS LÄN</t>
        </is>
      </c>
      <c r="E227" t="inlineStr">
        <is>
          <t>VÄXJÖ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58137-2019</t>
        </is>
      </c>
      <c r="B228" s="1" t="n">
        <v>43769</v>
      </c>
      <c r="C228" s="1" t="n">
        <v>45791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59666-2019</t>
        </is>
      </c>
      <c r="B229" s="1" t="n">
        <v>43776</v>
      </c>
      <c r="C229" s="1" t="n">
        <v>45791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60339-2019</t>
        </is>
      </c>
      <c r="B230" s="1" t="n">
        <v>43780</v>
      </c>
      <c r="C230" s="1" t="n">
        <v>45791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61153-2019</t>
        </is>
      </c>
      <c r="B231" s="1" t="n">
        <v>43782</v>
      </c>
      <c r="C231" s="1" t="n">
        <v>45791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61243-2019</t>
        </is>
      </c>
      <c r="B232" s="1" t="n">
        <v>43783</v>
      </c>
      <c r="C232" s="1" t="n">
        <v>45791</v>
      </c>
      <c r="D232" t="inlineStr">
        <is>
          <t>KRONOBERGS LÄN</t>
        </is>
      </c>
      <c r="E232" t="inlineStr">
        <is>
          <t>VÄXJÖ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62769-2019</t>
        </is>
      </c>
      <c r="B233" s="1" t="n">
        <v>43790</v>
      </c>
      <c r="C233" s="1" t="n">
        <v>45791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62761-2019</t>
        </is>
      </c>
      <c r="B234" s="1" t="n">
        <v>43790</v>
      </c>
      <c r="C234" s="1" t="n">
        <v>45791</v>
      </c>
      <c r="D234" t="inlineStr">
        <is>
          <t>KRONOBERGS LÄN</t>
        </is>
      </c>
      <c r="E234" t="inlineStr">
        <is>
          <t>VÄXJÖ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63081-2019</t>
        </is>
      </c>
      <c r="B235" s="1" t="n">
        <v>43791</v>
      </c>
      <c r="C235" s="1" t="n">
        <v>45791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63156-2019</t>
        </is>
      </c>
      <c r="B236" s="1" t="n">
        <v>43791</v>
      </c>
      <c r="C236" s="1" t="n">
        <v>45791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63814-2019</t>
        </is>
      </c>
      <c r="B237" s="1" t="n">
        <v>43795</v>
      </c>
      <c r="C237" s="1" t="n">
        <v>45791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64024-2019</t>
        </is>
      </c>
      <c r="B238" s="1" t="n">
        <v>43796</v>
      </c>
      <c r="C238" s="1" t="n">
        <v>45791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64034-2019</t>
        </is>
      </c>
      <c r="B239" s="1" t="n">
        <v>43796</v>
      </c>
      <c r="C239" s="1" t="n">
        <v>45791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64075-2019</t>
        </is>
      </c>
      <c r="B240" s="1" t="n">
        <v>43796</v>
      </c>
      <c r="C240" s="1" t="n">
        <v>45791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64202-2019</t>
        </is>
      </c>
      <c r="B241" s="1" t="n">
        <v>43797</v>
      </c>
      <c r="C241" s="1" t="n">
        <v>45791</v>
      </c>
      <c r="D241" t="inlineStr">
        <is>
          <t>KRONOBERGS LÄN</t>
        </is>
      </c>
      <c r="E241" t="inlineStr">
        <is>
          <t>VÄXJÖ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64278-2019</t>
        </is>
      </c>
      <c r="B242" s="1" t="n">
        <v>43797</v>
      </c>
      <c r="C242" s="1" t="n">
        <v>45791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64289-2019</t>
        </is>
      </c>
      <c r="B243" s="1" t="n">
        <v>43797</v>
      </c>
      <c r="C243" s="1" t="n">
        <v>45791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64378-2019</t>
        </is>
      </c>
      <c r="B244" s="1" t="n">
        <v>43797</v>
      </c>
      <c r="C244" s="1" t="n">
        <v>45791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64608-2019</t>
        </is>
      </c>
      <c r="B245" s="1" t="n">
        <v>43798</v>
      </c>
      <c r="C245" s="1" t="n">
        <v>45791</v>
      </c>
      <c r="D245" t="inlineStr">
        <is>
          <t>KRONOBERGS LÄN</t>
        </is>
      </c>
      <c r="E245" t="inlineStr">
        <is>
          <t>VÄXJÖ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64597-2019</t>
        </is>
      </c>
      <c r="B246" s="1" t="n">
        <v>43798</v>
      </c>
      <c r="C246" s="1" t="n">
        <v>45791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65171-2019</t>
        </is>
      </c>
      <c r="B247" s="1" t="n">
        <v>43802</v>
      </c>
      <c r="C247" s="1" t="n">
        <v>45791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65172-2019</t>
        </is>
      </c>
      <c r="B248" s="1" t="n">
        <v>43802</v>
      </c>
      <c r="C248" s="1" t="n">
        <v>45791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65175-2019</t>
        </is>
      </c>
      <c r="B249" s="1" t="n">
        <v>43802</v>
      </c>
      <c r="C249" s="1" t="n">
        <v>45791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65173-2019</t>
        </is>
      </c>
      <c r="B250" s="1" t="n">
        <v>43802</v>
      </c>
      <c r="C250" s="1" t="n">
        <v>45791</v>
      </c>
      <c r="D250" t="inlineStr">
        <is>
          <t>KRONOBERGS LÄN</t>
        </is>
      </c>
      <c r="E250" t="inlineStr">
        <is>
          <t>VÄXJÖ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65838-2019</t>
        </is>
      </c>
      <c r="B251" s="1" t="n">
        <v>43805</v>
      </c>
      <c r="C251" s="1" t="n">
        <v>45791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65843-2019</t>
        </is>
      </c>
      <c r="B252" s="1" t="n">
        <v>43805</v>
      </c>
      <c r="C252" s="1" t="n">
        <v>45791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66994-2019</t>
        </is>
      </c>
      <c r="B253" s="1" t="n">
        <v>43805</v>
      </c>
      <c r="C253" s="1" t="n">
        <v>45791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67766-2019</t>
        </is>
      </c>
      <c r="B254" s="1" t="n">
        <v>43815</v>
      </c>
      <c r="C254" s="1" t="n">
        <v>45791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67917-2019</t>
        </is>
      </c>
      <c r="B255" s="1" t="n">
        <v>43816</v>
      </c>
      <c r="C255" s="1" t="n">
        <v>45791</v>
      </c>
      <c r="D255" t="inlineStr">
        <is>
          <t>KRONOBERGS LÄN</t>
        </is>
      </c>
      <c r="E255" t="inlineStr">
        <is>
          <t>VÄXJÖ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68160-2019</t>
        </is>
      </c>
      <c r="B256" s="1" t="n">
        <v>43817</v>
      </c>
      <c r="C256" s="1" t="n">
        <v>45791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68946-2019</t>
        </is>
      </c>
      <c r="B257" s="1" t="n">
        <v>43822</v>
      </c>
      <c r="C257" s="1" t="n">
        <v>45791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68945-2019</t>
        </is>
      </c>
      <c r="B258" s="1" t="n">
        <v>43822</v>
      </c>
      <c r="C258" s="1" t="n">
        <v>45791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459-2020</t>
        </is>
      </c>
      <c r="B259" s="1" t="n">
        <v>43837</v>
      </c>
      <c r="C259" s="1" t="n">
        <v>45791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497-2020</t>
        </is>
      </c>
      <c r="B260" s="1" t="n">
        <v>43837</v>
      </c>
      <c r="C260" s="1" t="n">
        <v>45791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456-2020</t>
        </is>
      </c>
      <c r="B261" s="1" t="n">
        <v>43837</v>
      </c>
      <c r="C261" s="1" t="n">
        <v>45791</v>
      </c>
      <c r="D261" t="inlineStr">
        <is>
          <t>KRONOBERGS LÄN</t>
        </is>
      </c>
      <c r="E261" t="inlineStr">
        <is>
          <t>VÄXJÖ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631-2020</t>
        </is>
      </c>
      <c r="B262" s="1" t="n">
        <v>43838</v>
      </c>
      <c r="C262" s="1" t="n">
        <v>45791</v>
      </c>
      <c r="D262" t="inlineStr">
        <is>
          <t>KRONOBERGS LÄN</t>
        </is>
      </c>
      <c r="E262" t="inlineStr">
        <is>
          <t>VÄXJÖ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1064-2020</t>
        </is>
      </c>
      <c r="B263" s="1" t="n">
        <v>43839</v>
      </c>
      <c r="C263" s="1" t="n">
        <v>45791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907-2020</t>
        </is>
      </c>
      <c r="B264" s="1" t="n">
        <v>43839</v>
      </c>
      <c r="C264" s="1" t="n">
        <v>45791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994-2020</t>
        </is>
      </c>
      <c r="B265" s="1" t="n">
        <v>43839</v>
      </c>
      <c r="C265" s="1" t="n">
        <v>45791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1023-2020</t>
        </is>
      </c>
      <c r="B266" s="1" t="n">
        <v>43839</v>
      </c>
      <c r="C266" s="1" t="n">
        <v>45791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1248-2020</t>
        </is>
      </c>
      <c r="B267" s="1" t="n">
        <v>43840</v>
      </c>
      <c r="C267" s="1" t="n">
        <v>45791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1599-2020</t>
        </is>
      </c>
      <c r="B268" s="1" t="n">
        <v>43844</v>
      </c>
      <c r="C268" s="1" t="n">
        <v>45791</v>
      </c>
      <c r="D268" t="inlineStr">
        <is>
          <t>KRONOBERGS LÄN</t>
        </is>
      </c>
      <c r="E268" t="inlineStr">
        <is>
          <t>VÄXJÖ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1706-2020</t>
        </is>
      </c>
      <c r="B269" s="1" t="n">
        <v>43844</v>
      </c>
      <c r="C269" s="1" t="n">
        <v>45791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1743-2020</t>
        </is>
      </c>
      <c r="B270" s="1" t="n">
        <v>43844</v>
      </c>
      <c r="C270" s="1" t="n">
        <v>45791</v>
      </c>
      <c r="D270" t="inlineStr">
        <is>
          <t>KRONOBERGS LÄN</t>
        </is>
      </c>
      <c r="E270" t="inlineStr">
        <is>
          <t>VÄXJÖ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1702-2020</t>
        </is>
      </c>
      <c r="B271" s="1" t="n">
        <v>43844</v>
      </c>
      <c r="C271" s="1" t="n">
        <v>45791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1709-2020</t>
        </is>
      </c>
      <c r="B272" s="1" t="n">
        <v>43844</v>
      </c>
      <c r="C272" s="1" t="n">
        <v>45791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1704-2020</t>
        </is>
      </c>
      <c r="B273" s="1" t="n">
        <v>43844</v>
      </c>
      <c r="C273" s="1" t="n">
        <v>45791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2325-2020</t>
        </is>
      </c>
      <c r="B274" s="1" t="n">
        <v>43846</v>
      </c>
      <c r="C274" s="1" t="n">
        <v>45791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2506-2020</t>
        </is>
      </c>
      <c r="B275" s="1" t="n">
        <v>43847</v>
      </c>
      <c r="C275" s="1" t="n">
        <v>45791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2510-2020</t>
        </is>
      </c>
      <c r="B276" s="1" t="n">
        <v>43847</v>
      </c>
      <c r="C276" s="1" t="n">
        <v>45791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2644-2020</t>
        </is>
      </c>
      <c r="B277" s="1" t="n">
        <v>43847</v>
      </c>
      <c r="C277" s="1" t="n">
        <v>45791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3056-2020</t>
        </is>
      </c>
      <c r="B278" s="1" t="n">
        <v>43851</v>
      </c>
      <c r="C278" s="1" t="n">
        <v>45791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4111-2020</t>
        </is>
      </c>
      <c r="B279" s="1" t="n">
        <v>43857</v>
      </c>
      <c r="C279" s="1" t="n">
        <v>45791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4563-2020</t>
        </is>
      </c>
      <c r="B280" s="1" t="n">
        <v>43858</v>
      </c>
      <c r="C280" s="1" t="n">
        <v>45791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5366-2020</t>
        </is>
      </c>
      <c r="B281" s="1" t="n">
        <v>43860</v>
      </c>
      <c r="C281" s="1" t="n">
        <v>45791</v>
      </c>
      <c r="D281" t="inlineStr">
        <is>
          <t>KRONOBERGS LÄN</t>
        </is>
      </c>
      <c r="E281" t="inlineStr">
        <is>
          <t>VÄXJÖ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5655-2020</t>
        </is>
      </c>
      <c r="B282" s="1" t="n">
        <v>43861</v>
      </c>
      <c r="C282" s="1" t="n">
        <v>45791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5480-2020</t>
        </is>
      </c>
      <c r="B283" s="1" t="n">
        <v>43861</v>
      </c>
      <c r="C283" s="1" t="n">
        <v>45791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5668-2020</t>
        </is>
      </c>
      <c r="B284" s="1" t="n">
        <v>43861</v>
      </c>
      <c r="C284" s="1" t="n">
        <v>45791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5621-2020</t>
        </is>
      </c>
      <c r="B285" s="1" t="n">
        <v>43861</v>
      </c>
      <c r="C285" s="1" t="n">
        <v>45791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6609-2020</t>
        </is>
      </c>
      <c r="B286" s="1" t="n">
        <v>43867</v>
      </c>
      <c r="C286" s="1" t="n">
        <v>45791</v>
      </c>
      <c r="D286" t="inlineStr">
        <is>
          <t>KRONOBERGS LÄN</t>
        </is>
      </c>
      <c r="E286" t="inlineStr">
        <is>
          <t>VÄXJÖ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6737-2020</t>
        </is>
      </c>
      <c r="B287" s="1" t="n">
        <v>43867</v>
      </c>
      <c r="C287" s="1" t="n">
        <v>45791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6523-2020</t>
        </is>
      </c>
      <c r="B288" s="1" t="n">
        <v>43867</v>
      </c>
      <c r="C288" s="1" t="n">
        <v>45791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6726-2020</t>
        </is>
      </c>
      <c r="B289" s="1" t="n">
        <v>43867</v>
      </c>
      <c r="C289" s="1" t="n">
        <v>45791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7189-2020</t>
        </is>
      </c>
      <c r="B290" s="1" t="n">
        <v>43871</v>
      </c>
      <c r="C290" s="1" t="n">
        <v>45791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7515-2020</t>
        </is>
      </c>
      <c r="B291" s="1" t="n">
        <v>43872</v>
      </c>
      <c r="C291" s="1" t="n">
        <v>45791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7878-2020</t>
        </is>
      </c>
      <c r="B292" s="1" t="n">
        <v>43873</v>
      </c>
      <c r="C292" s="1" t="n">
        <v>45791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7976-2020</t>
        </is>
      </c>
      <c r="B293" s="1" t="n">
        <v>43873</v>
      </c>
      <c r="C293" s="1" t="n">
        <v>45791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8078-2020</t>
        </is>
      </c>
      <c r="B294" s="1" t="n">
        <v>43874</v>
      </c>
      <c r="C294" s="1" t="n">
        <v>45791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8443-2020</t>
        </is>
      </c>
      <c r="B295" s="1" t="n">
        <v>43875</v>
      </c>
      <c r="C295" s="1" t="n">
        <v>45791</v>
      </c>
      <c r="D295" t="inlineStr">
        <is>
          <t>KRONOBERGS LÄN</t>
        </is>
      </c>
      <c r="E295" t="inlineStr">
        <is>
          <t>VÄXJÖ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8792-2020</t>
        </is>
      </c>
      <c r="B296" s="1" t="n">
        <v>43878</v>
      </c>
      <c r="C296" s="1" t="n">
        <v>45791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9149-2020</t>
        </is>
      </c>
      <c r="B297" s="1" t="n">
        <v>43879</v>
      </c>
      <c r="C297" s="1" t="n">
        <v>45791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9303-2020</t>
        </is>
      </c>
      <c r="B298" s="1" t="n">
        <v>43880</v>
      </c>
      <c r="C298" s="1" t="n">
        <v>45791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9350-2020</t>
        </is>
      </c>
      <c r="B299" s="1" t="n">
        <v>43880</v>
      </c>
      <c r="C299" s="1" t="n">
        <v>45791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9614-2020</t>
        </is>
      </c>
      <c r="B300" s="1" t="n">
        <v>43881</v>
      </c>
      <c r="C300" s="1" t="n">
        <v>45791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9620-2020</t>
        </is>
      </c>
      <c r="B301" s="1" t="n">
        <v>43881</v>
      </c>
      <c r="C301" s="1" t="n">
        <v>45791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10208-2020</t>
        </is>
      </c>
      <c r="B302" s="1" t="n">
        <v>43885</v>
      </c>
      <c r="C302" s="1" t="n">
        <v>45791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10606-2020</t>
        </is>
      </c>
      <c r="B303" s="1" t="n">
        <v>43887</v>
      </c>
      <c r="C303" s="1" t="n">
        <v>45791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11706-2020</t>
        </is>
      </c>
      <c r="B304" s="1" t="n">
        <v>43894</v>
      </c>
      <c r="C304" s="1" t="n">
        <v>45791</v>
      </c>
      <c r="D304" t="inlineStr">
        <is>
          <t>KRONOBERGS LÄN</t>
        </is>
      </c>
      <c r="E304" t="inlineStr">
        <is>
          <t>VÄXJÖ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13412-2020</t>
        </is>
      </c>
      <c r="B305" s="1" t="n">
        <v>43894</v>
      </c>
      <c r="C305" s="1" t="n">
        <v>45791</v>
      </c>
      <c r="D305" t="inlineStr">
        <is>
          <t>KRONOBERGS LÄN</t>
        </is>
      </c>
      <c r="E305" t="inlineStr">
        <is>
          <t>VÄXJÖ</t>
        </is>
      </c>
      <c r="G305" t="n">
        <v>18.9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12809-2020</t>
        </is>
      </c>
      <c r="B306" s="1" t="n">
        <v>43899</v>
      </c>
      <c r="C306" s="1" t="n">
        <v>45791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12806-2020</t>
        </is>
      </c>
      <c r="B307" s="1" t="n">
        <v>43899</v>
      </c>
      <c r="C307" s="1" t="n">
        <v>45791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12808-2020</t>
        </is>
      </c>
      <c r="B308" s="1" t="n">
        <v>43899</v>
      </c>
      <c r="C308" s="1" t="n">
        <v>45791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14192-2020</t>
        </is>
      </c>
      <c r="B309" s="1" t="n">
        <v>43899</v>
      </c>
      <c r="C309" s="1" t="n">
        <v>45791</v>
      </c>
      <c r="D309" t="inlineStr">
        <is>
          <t>KRONOBERGS LÄN</t>
        </is>
      </c>
      <c r="E309" t="inlineStr">
        <is>
          <t>VÄXJÖ</t>
        </is>
      </c>
      <c r="F309" t="inlineStr">
        <is>
          <t>Kyrkan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13348-2020</t>
        </is>
      </c>
      <c r="B310" s="1" t="n">
        <v>43902</v>
      </c>
      <c r="C310" s="1" t="n">
        <v>45791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14264-2020</t>
        </is>
      </c>
      <c r="B311" s="1" t="n">
        <v>43907</v>
      </c>
      <c r="C311" s="1" t="n">
        <v>45791</v>
      </c>
      <c r="D311" t="inlineStr">
        <is>
          <t>KRONOBERGS LÄN</t>
        </is>
      </c>
      <c r="E311" t="inlineStr">
        <is>
          <t>VÄXJÖ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15347-2020</t>
        </is>
      </c>
      <c r="B312" s="1" t="n">
        <v>43908</v>
      </c>
      <c r="C312" s="1" t="n">
        <v>45791</v>
      </c>
      <c r="D312" t="inlineStr">
        <is>
          <t>KRONOBERGS LÄN</t>
        </is>
      </c>
      <c r="E312" t="inlineStr">
        <is>
          <t>VÄXJÖ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16602-2020</t>
        </is>
      </c>
      <c r="B313" s="1" t="n">
        <v>43909</v>
      </c>
      <c r="C313" s="1" t="n">
        <v>45791</v>
      </c>
      <c r="D313" t="inlineStr">
        <is>
          <t>KRONOBERGS LÄN</t>
        </is>
      </c>
      <c r="E313" t="inlineStr">
        <is>
          <t>VÄXJÖ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16622-2020</t>
        </is>
      </c>
      <c r="B314" s="1" t="n">
        <v>43909</v>
      </c>
      <c r="C314" s="1" t="n">
        <v>45791</v>
      </c>
      <c r="D314" t="inlineStr">
        <is>
          <t>KRONOBERGS LÄN</t>
        </is>
      </c>
      <c r="E314" t="inlineStr">
        <is>
          <t>VÄXJÖ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16598-2020</t>
        </is>
      </c>
      <c r="B315" s="1" t="n">
        <v>43909</v>
      </c>
      <c r="C315" s="1" t="n">
        <v>45791</v>
      </c>
      <c r="D315" t="inlineStr">
        <is>
          <t>KRONOBERGS LÄN</t>
        </is>
      </c>
      <c r="E315" t="inlineStr">
        <is>
          <t>VÄXJÖ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15449-2020</t>
        </is>
      </c>
      <c r="B316" s="1" t="n">
        <v>43914</v>
      </c>
      <c r="C316" s="1" t="n">
        <v>45791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15602-2020</t>
        </is>
      </c>
      <c r="B317" s="1" t="n">
        <v>43914</v>
      </c>
      <c r="C317" s="1" t="n">
        <v>45791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15718-2020</t>
        </is>
      </c>
      <c r="B318" s="1" t="n">
        <v>43915</v>
      </c>
      <c r="C318" s="1" t="n">
        <v>45791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17379-2020</t>
        </is>
      </c>
      <c r="B319" s="1" t="n">
        <v>43916</v>
      </c>
      <c r="C319" s="1" t="n">
        <v>45791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17439-2020</t>
        </is>
      </c>
      <c r="B320" s="1" t="n">
        <v>43916</v>
      </c>
      <c r="C320" s="1" t="n">
        <v>45791</v>
      </c>
      <c r="D320" t="inlineStr">
        <is>
          <t>KRONOBERGS LÄN</t>
        </is>
      </c>
      <c r="E320" t="inlineStr">
        <is>
          <t>VÄXJÖ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16735-2020</t>
        </is>
      </c>
      <c r="B321" s="1" t="n">
        <v>43920</v>
      </c>
      <c r="C321" s="1" t="n">
        <v>45791</v>
      </c>
      <c r="D321" t="inlineStr">
        <is>
          <t>KRONOBERGS LÄN</t>
        </is>
      </c>
      <c r="E321" t="inlineStr">
        <is>
          <t>VÄXJÖ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16581-2020</t>
        </is>
      </c>
      <c r="B322" s="1" t="n">
        <v>43920</v>
      </c>
      <c r="C322" s="1" t="n">
        <v>45791</v>
      </c>
      <c r="D322" t="inlineStr">
        <is>
          <t>KRONOBERGS LÄN</t>
        </is>
      </c>
      <c r="E322" t="inlineStr">
        <is>
          <t>VÄXJÖ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16739-2020</t>
        </is>
      </c>
      <c r="B323" s="1" t="n">
        <v>43920</v>
      </c>
      <c r="C323" s="1" t="n">
        <v>45791</v>
      </c>
      <c r="D323" t="inlineStr">
        <is>
          <t>KRONOBERGS LÄN</t>
        </is>
      </c>
      <c r="E323" t="inlineStr">
        <is>
          <t>VÄXJÖ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16944-2020</t>
        </is>
      </c>
      <c r="B324" s="1" t="n">
        <v>43921</v>
      </c>
      <c r="C324" s="1" t="n">
        <v>45791</v>
      </c>
      <c r="D324" t="inlineStr">
        <is>
          <t>KRONOBERGS LÄN</t>
        </is>
      </c>
      <c r="E324" t="inlineStr">
        <is>
          <t>VÄXJÖ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18028-2020</t>
        </is>
      </c>
      <c r="B325" s="1" t="n">
        <v>43927</v>
      </c>
      <c r="C325" s="1" t="n">
        <v>45791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18522-2020</t>
        </is>
      </c>
      <c r="B326" s="1" t="n">
        <v>43929</v>
      </c>
      <c r="C326" s="1" t="n">
        <v>45791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18574-2020</t>
        </is>
      </c>
      <c r="B327" s="1" t="n">
        <v>43929</v>
      </c>
      <c r="C327" s="1" t="n">
        <v>45791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19105-2020</t>
        </is>
      </c>
      <c r="B328" s="1" t="n">
        <v>43936</v>
      </c>
      <c r="C328" s="1" t="n">
        <v>45791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19110-2020</t>
        </is>
      </c>
      <c r="B329" s="1" t="n">
        <v>43936</v>
      </c>
      <c r="C329" s="1" t="n">
        <v>45791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19104-2020</t>
        </is>
      </c>
      <c r="B330" s="1" t="n">
        <v>43936</v>
      </c>
      <c r="C330" s="1" t="n">
        <v>45791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19342-2020</t>
        </is>
      </c>
      <c r="B331" s="1" t="n">
        <v>43938</v>
      </c>
      <c r="C331" s="1" t="n">
        <v>45791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19595-2020</t>
        </is>
      </c>
      <c r="B332" s="1" t="n">
        <v>43941</v>
      </c>
      <c r="C332" s="1" t="n">
        <v>45791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19586-2020</t>
        </is>
      </c>
      <c r="B333" s="1" t="n">
        <v>43941</v>
      </c>
      <c r="C333" s="1" t="n">
        <v>45791</v>
      </c>
      <c r="D333" t="inlineStr">
        <is>
          <t>KRONOBERGS LÄN</t>
        </is>
      </c>
      <c r="E333" t="inlineStr">
        <is>
          <t>VÄXJÖ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19599-2020</t>
        </is>
      </c>
      <c r="B334" s="1" t="n">
        <v>43941</v>
      </c>
      <c r="C334" s="1" t="n">
        <v>45791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19982-2020</t>
        </is>
      </c>
      <c r="B335" s="1" t="n">
        <v>43943</v>
      </c>
      <c r="C335" s="1" t="n">
        <v>45791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20591-2020</t>
        </is>
      </c>
      <c r="B336" s="1" t="n">
        <v>43948</v>
      </c>
      <c r="C336" s="1" t="n">
        <v>45791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20679-2020</t>
        </is>
      </c>
      <c r="B337" s="1" t="n">
        <v>43949</v>
      </c>
      <c r="C337" s="1" t="n">
        <v>45791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20846-2020</t>
        </is>
      </c>
      <c r="B338" s="1" t="n">
        <v>43950</v>
      </c>
      <c r="C338" s="1" t="n">
        <v>45791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22537-2020</t>
        </is>
      </c>
      <c r="B339" s="1" t="n">
        <v>43963</v>
      </c>
      <c r="C339" s="1" t="n">
        <v>45791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22535-2020</t>
        </is>
      </c>
      <c r="B340" s="1" t="n">
        <v>43963</v>
      </c>
      <c r="C340" s="1" t="n">
        <v>45791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22862-2020</t>
        </is>
      </c>
      <c r="B341" s="1" t="n">
        <v>43964</v>
      </c>
      <c r="C341" s="1" t="n">
        <v>45791</v>
      </c>
      <c r="D341" t="inlineStr">
        <is>
          <t>KRONOBERGS LÄN</t>
        </is>
      </c>
      <c r="E341" t="inlineStr">
        <is>
          <t>VÄXJÖ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23798-2020</t>
        </is>
      </c>
      <c r="B342" s="1" t="n">
        <v>43970</v>
      </c>
      <c r="C342" s="1" t="n">
        <v>45791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23781-2020</t>
        </is>
      </c>
      <c r="B343" s="1" t="n">
        <v>43970</v>
      </c>
      <c r="C343" s="1" t="n">
        <v>45791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23982-2020</t>
        </is>
      </c>
      <c r="B344" s="1" t="n">
        <v>43971</v>
      </c>
      <c r="C344" s="1" t="n">
        <v>45791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24471-2020</t>
        </is>
      </c>
      <c r="B345" s="1" t="n">
        <v>43976</v>
      </c>
      <c r="C345" s="1" t="n">
        <v>45791</v>
      </c>
      <c r="D345" t="inlineStr">
        <is>
          <t>KRONOBERGS LÄN</t>
        </is>
      </c>
      <c r="E345" t="inlineStr">
        <is>
          <t>VÄXJÖ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24581-2020</t>
        </is>
      </c>
      <c r="B346" s="1" t="n">
        <v>43977</v>
      </c>
      <c r="C346" s="1" t="n">
        <v>45791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24977-2020</t>
        </is>
      </c>
      <c r="B347" s="1" t="n">
        <v>43979</v>
      </c>
      <c r="C347" s="1" t="n">
        <v>45791</v>
      </c>
      <c r="D347" t="inlineStr">
        <is>
          <t>KRONOBERGS LÄN</t>
        </is>
      </c>
      <c r="E347" t="inlineStr">
        <is>
          <t>VÄXJÖ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25351-2020</t>
        </is>
      </c>
      <c r="B348" s="1" t="n">
        <v>43980</v>
      </c>
      <c r="C348" s="1" t="n">
        <v>45791</v>
      </c>
      <c r="D348" t="inlineStr">
        <is>
          <t>KRONOBERGS LÄN</t>
        </is>
      </c>
      <c r="E348" t="inlineStr">
        <is>
          <t>VÄXJÖ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25510-2020</t>
        </is>
      </c>
      <c r="B349" s="1" t="n">
        <v>43983</v>
      </c>
      <c r="C349" s="1" t="n">
        <v>45791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25507-2020</t>
        </is>
      </c>
      <c r="B350" s="1" t="n">
        <v>43983</v>
      </c>
      <c r="C350" s="1" t="n">
        <v>45791</v>
      </c>
      <c r="D350" t="inlineStr">
        <is>
          <t>KRONOBERGS LÄN</t>
        </is>
      </c>
      <c r="E350" t="inlineStr">
        <is>
          <t>VÄXJÖ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25767-2020</t>
        </is>
      </c>
      <c r="B351" s="1" t="n">
        <v>43984</v>
      </c>
      <c r="C351" s="1" t="n">
        <v>45791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26208-2020</t>
        </is>
      </c>
      <c r="B352" s="1" t="n">
        <v>43986</v>
      </c>
      <c r="C352" s="1" t="n">
        <v>45791</v>
      </c>
      <c r="D352" t="inlineStr">
        <is>
          <t>KRONOBERGS LÄN</t>
        </is>
      </c>
      <c r="E352" t="inlineStr">
        <is>
          <t>VÄXJÖ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26360-2020</t>
        </is>
      </c>
      <c r="B353" s="1" t="n">
        <v>43986</v>
      </c>
      <c r="C353" s="1" t="n">
        <v>45791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26497-2020</t>
        </is>
      </c>
      <c r="B354" s="1" t="n">
        <v>43987</v>
      </c>
      <c r="C354" s="1" t="n">
        <v>45791</v>
      </c>
      <c r="D354" t="inlineStr">
        <is>
          <t>KRONOBERGS LÄN</t>
        </is>
      </c>
      <c r="E354" t="inlineStr">
        <is>
          <t>VÄXJÖ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26851-2020</t>
        </is>
      </c>
      <c r="B355" s="1" t="n">
        <v>43990</v>
      </c>
      <c r="C355" s="1" t="n">
        <v>45791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26845-2020</t>
        </is>
      </c>
      <c r="B356" s="1" t="n">
        <v>43990</v>
      </c>
      <c r="C356" s="1" t="n">
        <v>45791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27349-2020</t>
        </is>
      </c>
      <c r="B357" s="1" t="n">
        <v>43992</v>
      </c>
      <c r="C357" s="1" t="n">
        <v>45791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27367-2020</t>
        </is>
      </c>
      <c r="B358" s="1" t="n">
        <v>43992</v>
      </c>
      <c r="C358" s="1" t="n">
        <v>45791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27221-2020</t>
        </is>
      </c>
      <c r="B359" s="1" t="n">
        <v>43992</v>
      </c>
      <c r="C359" s="1" t="n">
        <v>45791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27856-2020</t>
        </is>
      </c>
      <c r="B360" s="1" t="n">
        <v>43994</v>
      </c>
      <c r="C360" s="1" t="n">
        <v>45791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28150-2020</t>
        </is>
      </c>
      <c r="B361" s="1" t="n">
        <v>43997</v>
      </c>
      <c r="C361" s="1" t="n">
        <v>45791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30246-2020</t>
        </is>
      </c>
      <c r="B362" s="1" t="n">
        <v>44007</v>
      </c>
      <c r="C362" s="1" t="n">
        <v>45791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31495-2020</t>
        </is>
      </c>
      <c r="B363" s="1" t="n">
        <v>44013</v>
      </c>
      <c r="C363" s="1" t="n">
        <v>45791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32686-2020</t>
        </is>
      </c>
      <c r="B364" s="1" t="n">
        <v>44019</v>
      </c>
      <c r="C364" s="1" t="n">
        <v>45791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32856-2020</t>
        </is>
      </c>
      <c r="B365" s="1" t="n">
        <v>44020</v>
      </c>
      <c r="C365" s="1" t="n">
        <v>45791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32926-2020</t>
        </is>
      </c>
      <c r="B366" s="1" t="n">
        <v>44020</v>
      </c>
      <c r="C366" s="1" t="n">
        <v>45791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33525-2020</t>
        </is>
      </c>
      <c r="B367" s="1" t="n">
        <v>44025</v>
      </c>
      <c r="C367" s="1" t="n">
        <v>45791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33549-2020</t>
        </is>
      </c>
      <c r="B368" s="1" t="n">
        <v>44025</v>
      </c>
      <c r="C368" s="1" t="n">
        <v>45791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33522-2020</t>
        </is>
      </c>
      <c r="B369" s="1" t="n">
        <v>44025</v>
      </c>
      <c r="C369" s="1" t="n">
        <v>45791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33829-2020</t>
        </is>
      </c>
      <c r="B370" s="1" t="n">
        <v>44027</v>
      </c>
      <c r="C370" s="1" t="n">
        <v>45791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34326-2020</t>
        </is>
      </c>
      <c r="B371" s="1" t="n">
        <v>44028</v>
      </c>
      <c r="C371" s="1" t="n">
        <v>45791</v>
      </c>
      <c r="D371" t="inlineStr">
        <is>
          <t>KRONOBERGS LÄN</t>
        </is>
      </c>
      <c r="E371" t="inlineStr">
        <is>
          <t>VÄXJÖ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35236-2020</t>
        </is>
      </c>
      <c r="B372" s="1" t="n">
        <v>44041</v>
      </c>
      <c r="C372" s="1" t="n">
        <v>45791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35947-2020</t>
        </is>
      </c>
      <c r="B373" s="1" t="n">
        <v>44047</v>
      </c>
      <c r="C373" s="1" t="n">
        <v>45791</v>
      </c>
      <c r="D373" t="inlineStr">
        <is>
          <t>KRONOBERGS LÄN</t>
        </is>
      </c>
      <c r="E373" t="inlineStr">
        <is>
          <t>VÄXJÖ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36263-2020</t>
        </is>
      </c>
      <c r="B374" s="1" t="n">
        <v>44048</v>
      </c>
      <c r="C374" s="1" t="n">
        <v>45791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36125-2020</t>
        </is>
      </c>
      <c r="B375" s="1" t="n">
        <v>44048</v>
      </c>
      <c r="C375" s="1" t="n">
        <v>45791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36420-2020</t>
        </is>
      </c>
      <c r="B376" s="1" t="n">
        <v>44049</v>
      </c>
      <c r="C376" s="1" t="n">
        <v>45791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statliga verk och myndigheter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36246-2020</t>
        </is>
      </c>
      <c r="B377" s="1" t="n">
        <v>44049</v>
      </c>
      <c r="C377" s="1" t="n">
        <v>45791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37306-2020</t>
        </is>
      </c>
      <c r="B378" s="1" t="n">
        <v>44055</v>
      </c>
      <c r="C378" s="1" t="n">
        <v>45791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38430-2020</t>
        </is>
      </c>
      <c r="B379" s="1" t="n">
        <v>44060</v>
      </c>
      <c r="C379" s="1" t="n">
        <v>45791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38616-2020</t>
        </is>
      </c>
      <c r="B380" s="1" t="n">
        <v>44061</v>
      </c>
      <c r="C380" s="1" t="n">
        <v>45791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39254-2020</t>
        </is>
      </c>
      <c r="B381" s="1" t="n">
        <v>44063</v>
      </c>
      <c r="C381" s="1" t="n">
        <v>45791</v>
      </c>
      <c r="D381" t="inlineStr">
        <is>
          <t>KRONOBERGS LÄN</t>
        </is>
      </c>
      <c r="E381" t="inlineStr">
        <is>
          <t>VÄXJÖ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39366-2020</t>
        </is>
      </c>
      <c r="B382" s="1" t="n">
        <v>44064</v>
      </c>
      <c r="C382" s="1" t="n">
        <v>45791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39951-2020</t>
        </is>
      </c>
      <c r="B383" s="1" t="n">
        <v>44067</v>
      </c>
      <c r="C383" s="1" t="n">
        <v>45791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40145-2020</t>
        </is>
      </c>
      <c r="B384" s="1" t="n">
        <v>44068</v>
      </c>
      <c r="C384" s="1" t="n">
        <v>45791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40334-2020</t>
        </is>
      </c>
      <c r="B385" s="1" t="n">
        <v>44068</v>
      </c>
      <c r="C385" s="1" t="n">
        <v>45791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40533-2020</t>
        </is>
      </c>
      <c r="B386" s="1" t="n">
        <v>44069</v>
      </c>
      <c r="C386" s="1" t="n">
        <v>45791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41487-2020</t>
        </is>
      </c>
      <c r="B387" s="1" t="n">
        <v>44074</v>
      </c>
      <c r="C387" s="1" t="n">
        <v>45791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41854-2020</t>
        </is>
      </c>
      <c r="B388" s="1" t="n">
        <v>44074</v>
      </c>
      <c r="C388" s="1" t="n">
        <v>45791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42185-2020</t>
        </is>
      </c>
      <c r="B389" s="1" t="n">
        <v>44075</v>
      </c>
      <c r="C389" s="1" t="n">
        <v>45791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42191-2020</t>
        </is>
      </c>
      <c r="B390" s="1" t="n">
        <v>44075</v>
      </c>
      <c r="C390" s="1" t="n">
        <v>45791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42189-2020</t>
        </is>
      </c>
      <c r="B391" s="1" t="n">
        <v>44075</v>
      </c>
      <c r="C391" s="1" t="n">
        <v>45791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43772-2020</t>
        </is>
      </c>
      <c r="B392" s="1" t="n">
        <v>44082</v>
      </c>
      <c r="C392" s="1" t="n">
        <v>45791</v>
      </c>
      <c r="D392" t="inlineStr">
        <is>
          <t>KRONOBERGS LÄN</t>
        </is>
      </c>
      <c r="E392" t="inlineStr">
        <is>
          <t>VÄXJÖ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44362-2020</t>
        </is>
      </c>
      <c r="B393" s="1" t="n">
        <v>44084</v>
      </c>
      <c r="C393" s="1" t="n">
        <v>45791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44355-2020</t>
        </is>
      </c>
      <c r="B394" s="1" t="n">
        <v>44084</v>
      </c>
      <c r="C394" s="1" t="n">
        <v>45791</v>
      </c>
      <c r="D394" t="inlineStr">
        <is>
          <t>KRONOBERGS LÄN</t>
        </is>
      </c>
      <c r="E394" t="inlineStr">
        <is>
          <t>VÄXJÖ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44774-2020</t>
        </is>
      </c>
      <c r="B395" s="1" t="n">
        <v>44085</v>
      </c>
      <c r="C395" s="1" t="n">
        <v>45791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45113-2020</t>
        </is>
      </c>
      <c r="B396" s="1" t="n">
        <v>44088</v>
      </c>
      <c r="C396" s="1" t="n">
        <v>45791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45669-2020</t>
        </is>
      </c>
      <c r="B397" s="1" t="n">
        <v>44090</v>
      </c>
      <c r="C397" s="1" t="n">
        <v>45791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45597-2020</t>
        </is>
      </c>
      <c r="B398" s="1" t="n">
        <v>44090</v>
      </c>
      <c r="C398" s="1" t="n">
        <v>45791</v>
      </c>
      <c r="D398" t="inlineStr">
        <is>
          <t>KRONOBERGS LÄN</t>
        </is>
      </c>
      <c r="E398" t="inlineStr">
        <is>
          <t>VÄXJÖ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46477-2020</t>
        </is>
      </c>
      <c r="B399" s="1" t="n">
        <v>44095</v>
      </c>
      <c r="C399" s="1" t="n">
        <v>45791</v>
      </c>
      <c r="D399" t="inlineStr">
        <is>
          <t>KRONOBERGS LÄN</t>
        </is>
      </c>
      <c r="E399" t="inlineStr">
        <is>
          <t>VÄXJÖ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46853-2020</t>
        </is>
      </c>
      <c r="B400" s="1" t="n">
        <v>44096</v>
      </c>
      <c r="C400" s="1" t="n">
        <v>45791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48631-2020</t>
        </is>
      </c>
      <c r="B401" s="1" t="n">
        <v>44098</v>
      </c>
      <c r="C401" s="1" t="n">
        <v>45791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48641-2020</t>
        </is>
      </c>
      <c r="B402" s="1" t="n">
        <v>44098</v>
      </c>
      <c r="C402" s="1" t="n">
        <v>45791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48413-2020</t>
        </is>
      </c>
      <c r="B403" s="1" t="n">
        <v>44102</v>
      </c>
      <c r="C403" s="1" t="n">
        <v>45791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48431-2020</t>
        </is>
      </c>
      <c r="B404" s="1" t="n">
        <v>44102</v>
      </c>
      <c r="C404" s="1" t="n">
        <v>45791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48430-2020</t>
        </is>
      </c>
      <c r="B405" s="1" t="n">
        <v>44102</v>
      </c>
      <c r="C405" s="1" t="n">
        <v>45791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48442-2020</t>
        </is>
      </c>
      <c r="B406" s="1" t="n">
        <v>44102</v>
      </c>
      <c r="C406" s="1" t="n">
        <v>45791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48996-2020</t>
        </is>
      </c>
      <c r="B407" s="1" t="n">
        <v>44104</v>
      </c>
      <c r="C407" s="1" t="n">
        <v>45791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49299-2020</t>
        </is>
      </c>
      <c r="B408" s="1" t="n">
        <v>44105</v>
      </c>
      <c r="C408" s="1" t="n">
        <v>45791</v>
      </c>
      <c r="D408" t="inlineStr">
        <is>
          <t>KRONOBERGS LÄN</t>
        </is>
      </c>
      <c r="E408" t="inlineStr">
        <is>
          <t>VÄXJÖ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49268-2020</t>
        </is>
      </c>
      <c r="B409" s="1" t="n">
        <v>44105</v>
      </c>
      <c r="C409" s="1" t="n">
        <v>45791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49308-2020</t>
        </is>
      </c>
      <c r="B410" s="1" t="n">
        <v>44105</v>
      </c>
      <c r="C410" s="1" t="n">
        <v>45791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49473-2020</t>
        </is>
      </c>
      <c r="B411" s="1" t="n">
        <v>44105</v>
      </c>
      <c r="C411" s="1" t="n">
        <v>45791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49476-2020</t>
        </is>
      </c>
      <c r="B412" s="1" t="n">
        <v>44105</v>
      </c>
      <c r="C412" s="1" t="n">
        <v>45791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49787-2020</t>
        </is>
      </c>
      <c r="B413" s="1" t="n">
        <v>44106</v>
      </c>
      <c r="C413" s="1" t="n">
        <v>45791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49890-2020</t>
        </is>
      </c>
      <c r="B414" s="1" t="n">
        <v>44108</v>
      </c>
      <c r="C414" s="1" t="n">
        <v>45791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50337-2020</t>
        </is>
      </c>
      <c r="B415" s="1" t="n">
        <v>44110</v>
      </c>
      <c r="C415" s="1" t="n">
        <v>45791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51834-2020</t>
        </is>
      </c>
      <c r="B416" s="1" t="n">
        <v>44116</v>
      </c>
      <c r="C416" s="1" t="n">
        <v>45791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52381-2020</t>
        </is>
      </c>
      <c r="B417" s="1" t="n">
        <v>44118</v>
      </c>
      <c r="C417" s="1" t="n">
        <v>45791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52562-2020</t>
        </is>
      </c>
      <c r="B418" s="1" t="n">
        <v>44118</v>
      </c>
      <c r="C418" s="1" t="n">
        <v>45791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52781-2020</t>
        </is>
      </c>
      <c r="B419" s="1" t="n">
        <v>44119</v>
      </c>
      <c r="C419" s="1" t="n">
        <v>45791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53376-2020</t>
        </is>
      </c>
      <c r="B420" s="1" t="n">
        <v>44123</v>
      </c>
      <c r="C420" s="1" t="n">
        <v>45791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53972-2020</t>
        </is>
      </c>
      <c r="B421" s="1" t="n">
        <v>44125</v>
      </c>
      <c r="C421" s="1" t="n">
        <v>45791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53980-2020</t>
        </is>
      </c>
      <c r="B422" s="1" t="n">
        <v>44125</v>
      </c>
      <c r="C422" s="1" t="n">
        <v>45791</v>
      </c>
      <c r="D422" t="inlineStr">
        <is>
          <t>KRONOBERGS LÄN</t>
        </is>
      </c>
      <c r="E422" t="inlineStr">
        <is>
          <t>VÄXJÖ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53941-2020</t>
        </is>
      </c>
      <c r="B423" s="1" t="n">
        <v>44125</v>
      </c>
      <c r="C423" s="1" t="n">
        <v>45791</v>
      </c>
      <c r="D423" t="inlineStr">
        <is>
          <t>KRONOBERGS LÄN</t>
        </is>
      </c>
      <c r="E423" t="inlineStr">
        <is>
          <t>VÄXJÖ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54791-2020</t>
        </is>
      </c>
      <c r="B424" s="1" t="n">
        <v>44127</v>
      </c>
      <c r="C424" s="1" t="n">
        <v>45791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54799-2020</t>
        </is>
      </c>
      <c r="B425" s="1" t="n">
        <v>44127</v>
      </c>
      <c r="C425" s="1" t="n">
        <v>45791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54787-2020</t>
        </is>
      </c>
      <c r="B426" s="1" t="n">
        <v>44127</v>
      </c>
      <c r="C426" s="1" t="n">
        <v>45791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54798-2020</t>
        </is>
      </c>
      <c r="B427" s="1" t="n">
        <v>44127</v>
      </c>
      <c r="C427" s="1" t="n">
        <v>45791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55794-2020</t>
        </is>
      </c>
      <c r="B428" s="1" t="n">
        <v>44132</v>
      </c>
      <c r="C428" s="1" t="n">
        <v>45791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56958-2020</t>
        </is>
      </c>
      <c r="B429" s="1" t="n">
        <v>44138</v>
      </c>
      <c r="C429" s="1" t="n">
        <v>45791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57493-2020</t>
        </is>
      </c>
      <c r="B430" s="1" t="n">
        <v>44140</v>
      </c>
      <c r="C430" s="1" t="n">
        <v>45791</v>
      </c>
      <c r="D430" t="inlineStr">
        <is>
          <t>KRONOBERGS LÄN</t>
        </is>
      </c>
      <c r="E430" t="inlineStr">
        <is>
          <t>VÄXJÖ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57490-2020</t>
        </is>
      </c>
      <c r="B431" s="1" t="n">
        <v>44140</v>
      </c>
      <c r="C431" s="1" t="n">
        <v>45791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58259-2020</t>
        </is>
      </c>
      <c r="B432" s="1" t="n">
        <v>44144</v>
      </c>
      <c r="C432" s="1" t="n">
        <v>45791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58264-2020</t>
        </is>
      </c>
      <c r="B433" s="1" t="n">
        <v>44144</v>
      </c>
      <c r="C433" s="1" t="n">
        <v>45791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58440-2020</t>
        </is>
      </c>
      <c r="B434" s="1" t="n">
        <v>44145</v>
      </c>
      <c r="C434" s="1" t="n">
        <v>45791</v>
      </c>
      <c r="D434" t="inlineStr">
        <is>
          <t>KRONOBERGS LÄN</t>
        </is>
      </c>
      <c r="E434" t="inlineStr">
        <is>
          <t>VÄXJÖ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60108-2020</t>
        </is>
      </c>
      <c r="B435" s="1" t="n">
        <v>44152</v>
      </c>
      <c r="C435" s="1" t="n">
        <v>45791</v>
      </c>
      <c r="D435" t="inlineStr">
        <is>
          <t>KRONOBERGS LÄN</t>
        </is>
      </c>
      <c r="E435" t="inlineStr">
        <is>
          <t>VÄXJÖ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61620-2020</t>
        </is>
      </c>
      <c r="B436" s="1" t="n">
        <v>44158</v>
      </c>
      <c r="C436" s="1" t="n">
        <v>45791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61885-2020</t>
        </is>
      </c>
      <c r="B437" s="1" t="n">
        <v>44159</v>
      </c>
      <c r="C437" s="1" t="n">
        <v>45791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61899-2020</t>
        </is>
      </c>
      <c r="B438" s="1" t="n">
        <v>44159</v>
      </c>
      <c r="C438" s="1" t="n">
        <v>45791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62722-2020</t>
        </is>
      </c>
      <c r="B439" s="1" t="n">
        <v>44161</v>
      </c>
      <c r="C439" s="1" t="n">
        <v>45791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63517-2020</t>
        </is>
      </c>
      <c r="B440" s="1" t="n">
        <v>44161</v>
      </c>
      <c r="C440" s="1" t="n">
        <v>45791</v>
      </c>
      <c r="D440" t="inlineStr">
        <is>
          <t>KRONOBERGS LÄN</t>
        </is>
      </c>
      <c r="E440" t="inlineStr">
        <is>
          <t>VÄXJÖ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63873-2020</t>
        </is>
      </c>
      <c r="B441" s="1" t="n">
        <v>44166</v>
      </c>
      <c r="C441" s="1" t="n">
        <v>45791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64125-2020</t>
        </is>
      </c>
      <c r="B442" s="1" t="n">
        <v>44167</v>
      </c>
      <c r="C442" s="1" t="n">
        <v>45791</v>
      </c>
      <c r="D442" t="inlineStr">
        <is>
          <t>KRONOBERGS LÄN</t>
        </is>
      </c>
      <c r="E442" t="inlineStr">
        <is>
          <t>VÄXJÖ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64572-2020</t>
        </is>
      </c>
      <c r="B443" s="1" t="n">
        <v>44168</v>
      </c>
      <c r="C443" s="1" t="n">
        <v>45791</v>
      </c>
      <c r="D443" t="inlineStr">
        <is>
          <t>KRONOBERGS LÄN</t>
        </is>
      </c>
      <c r="E443" t="inlineStr">
        <is>
          <t>VÄXJÖ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64752-2020</t>
        </is>
      </c>
      <c r="B444" s="1" t="n">
        <v>44169</v>
      </c>
      <c r="C444" s="1" t="n">
        <v>45791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64743-2020</t>
        </is>
      </c>
      <c r="B445" s="1" t="n">
        <v>44169</v>
      </c>
      <c r="C445" s="1" t="n">
        <v>45791</v>
      </c>
      <c r="D445" t="inlineStr">
        <is>
          <t>KRONOBERGS LÄN</t>
        </is>
      </c>
      <c r="E445" t="inlineStr">
        <is>
          <t>VÄXJÖ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65191-2020</t>
        </is>
      </c>
      <c r="B446" s="1" t="n">
        <v>44172</v>
      </c>
      <c r="C446" s="1" t="n">
        <v>45791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65249-2020</t>
        </is>
      </c>
      <c r="B447" s="1" t="n">
        <v>44172</v>
      </c>
      <c r="C447" s="1" t="n">
        <v>45791</v>
      </c>
      <c r="D447" t="inlineStr">
        <is>
          <t>KRONOBERGS LÄN</t>
        </is>
      </c>
      <c r="E447" t="inlineStr">
        <is>
          <t>VÄXJÖ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65251-2020</t>
        </is>
      </c>
      <c r="B448" s="1" t="n">
        <v>44172</v>
      </c>
      <c r="C448" s="1" t="n">
        <v>45791</v>
      </c>
      <c r="D448" t="inlineStr">
        <is>
          <t>KRONOBERGS LÄN</t>
        </is>
      </c>
      <c r="E448" t="inlineStr">
        <is>
          <t>VÄXJÖ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65238-2020</t>
        </is>
      </c>
      <c r="B449" s="1" t="n">
        <v>44172</v>
      </c>
      <c r="C449" s="1" t="n">
        <v>45791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65388-2020</t>
        </is>
      </c>
      <c r="B450" s="1" t="n">
        <v>44173</v>
      </c>
      <c r="C450" s="1" t="n">
        <v>45791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65664-2020</t>
        </is>
      </c>
      <c r="B451" s="1" t="n">
        <v>44174</v>
      </c>
      <c r="C451" s="1" t="n">
        <v>45791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65937-2020</t>
        </is>
      </c>
      <c r="B452" s="1" t="n">
        <v>44175</v>
      </c>
      <c r="C452" s="1" t="n">
        <v>45791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66023-2020</t>
        </is>
      </c>
      <c r="B453" s="1" t="n">
        <v>44175</v>
      </c>
      <c r="C453" s="1" t="n">
        <v>45791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67169-2020</t>
        </is>
      </c>
      <c r="B454" s="1" t="n">
        <v>44180</v>
      </c>
      <c r="C454" s="1" t="n">
        <v>45791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67181-2020</t>
        </is>
      </c>
      <c r="B455" s="1" t="n">
        <v>44180</v>
      </c>
      <c r="C455" s="1" t="n">
        <v>45791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67214-2020</t>
        </is>
      </c>
      <c r="B456" s="1" t="n">
        <v>44180</v>
      </c>
      <c r="C456" s="1" t="n">
        <v>45791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67228-2020</t>
        </is>
      </c>
      <c r="B457" s="1" t="n">
        <v>44180</v>
      </c>
      <c r="C457" s="1" t="n">
        <v>45791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67310-2020</t>
        </is>
      </c>
      <c r="B458" s="1" t="n">
        <v>44181</v>
      </c>
      <c r="C458" s="1" t="n">
        <v>45791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67311-2020</t>
        </is>
      </c>
      <c r="B459" s="1" t="n">
        <v>44181</v>
      </c>
      <c r="C459" s="1" t="n">
        <v>45791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68208-2020</t>
        </is>
      </c>
      <c r="B460" s="1" t="n">
        <v>44183</v>
      </c>
      <c r="C460" s="1" t="n">
        <v>45791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68952-2020</t>
        </is>
      </c>
      <c r="B461" s="1" t="n">
        <v>44187</v>
      </c>
      <c r="C461" s="1" t="n">
        <v>45791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69396-2020</t>
        </is>
      </c>
      <c r="B462" s="1" t="n">
        <v>44193</v>
      </c>
      <c r="C462" s="1" t="n">
        <v>45791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69400-2020</t>
        </is>
      </c>
      <c r="B463" s="1" t="n">
        <v>44193</v>
      </c>
      <c r="C463" s="1" t="n">
        <v>45791</v>
      </c>
      <c r="D463" t="inlineStr">
        <is>
          <t>KRONOBERGS LÄN</t>
        </is>
      </c>
      <c r="E463" t="inlineStr">
        <is>
          <t>VÄXJÖ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69521-2020</t>
        </is>
      </c>
      <c r="B464" s="1" t="n">
        <v>44194</v>
      </c>
      <c r="C464" s="1" t="n">
        <v>45791</v>
      </c>
      <c r="D464" t="inlineStr">
        <is>
          <t>KRONOBERGS LÄN</t>
        </is>
      </c>
      <c r="E464" t="inlineStr">
        <is>
          <t>VÄXJÖ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45791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69524-2020</t>
        </is>
      </c>
      <c r="B466" s="1" t="n">
        <v>44194</v>
      </c>
      <c r="C466" s="1" t="n">
        <v>45791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69652-2020</t>
        </is>
      </c>
      <c r="B467" s="1" t="n">
        <v>44195</v>
      </c>
      <c r="C467" s="1" t="n">
        <v>45791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431-2021</t>
        </is>
      </c>
      <c r="B468" s="1" t="n">
        <v>44201</v>
      </c>
      <c r="C468" s="1" t="n">
        <v>45791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422-2021</t>
        </is>
      </c>
      <c r="B469" s="1" t="n">
        <v>44201</v>
      </c>
      <c r="C469" s="1" t="n">
        <v>45791</v>
      </c>
      <c r="D469" t="inlineStr">
        <is>
          <t>KRONOBERGS LÄN</t>
        </is>
      </c>
      <c r="E469" t="inlineStr">
        <is>
          <t>VÄXJÖ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851-2021</t>
        </is>
      </c>
      <c r="B470" s="1" t="n">
        <v>44204</v>
      </c>
      <c r="C470" s="1" t="n">
        <v>45791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914-2021</t>
        </is>
      </c>
      <c r="B471" s="1" t="n">
        <v>44207</v>
      </c>
      <c r="C471" s="1" t="n">
        <v>45791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1099-2021</t>
        </is>
      </c>
      <c r="B472" s="1" t="n">
        <v>44207</v>
      </c>
      <c r="C472" s="1" t="n">
        <v>45791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1163-2021</t>
        </is>
      </c>
      <c r="B473" s="1" t="n">
        <v>44207</v>
      </c>
      <c r="C473" s="1" t="n">
        <v>45791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1663-2021</t>
        </is>
      </c>
      <c r="B474" s="1" t="n">
        <v>44209</v>
      </c>
      <c r="C474" s="1" t="n">
        <v>45791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1576-2021</t>
        </is>
      </c>
      <c r="B475" s="1" t="n">
        <v>44209</v>
      </c>
      <c r="C475" s="1" t="n">
        <v>45791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1668-2021</t>
        </is>
      </c>
      <c r="B476" s="1" t="n">
        <v>44209</v>
      </c>
      <c r="C476" s="1" t="n">
        <v>45791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1952-2021</t>
        </is>
      </c>
      <c r="B477" s="1" t="n">
        <v>44210</v>
      </c>
      <c r="C477" s="1" t="n">
        <v>45791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1972-2021</t>
        </is>
      </c>
      <c r="B478" s="1" t="n">
        <v>44210</v>
      </c>
      <c r="C478" s="1" t="n">
        <v>45791</v>
      </c>
      <c r="D478" t="inlineStr">
        <is>
          <t>KRONOBERGS LÄN</t>
        </is>
      </c>
      <c r="E478" t="inlineStr">
        <is>
          <t>VÄXJÖ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2255-2021</t>
        </is>
      </c>
      <c r="B479" s="1" t="n">
        <v>44211</v>
      </c>
      <c r="C479" s="1" t="n">
        <v>45791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2459-2021</t>
        </is>
      </c>
      <c r="B480" s="1" t="n">
        <v>44214</v>
      </c>
      <c r="C480" s="1" t="n">
        <v>45791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2895-2021</t>
        </is>
      </c>
      <c r="B481" s="1" t="n">
        <v>44216</v>
      </c>
      <c r="C481" s="1" t="n">
        <v>45791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2898-2021</t>
        </is>
      </c>
      <c r="B482" s="1" t="n">
        <v>44216</v>
      </c>
      <c r="C482" s="1" t="n">
        <v>45791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4144-2021</t>
        </is>
      </c>
      <c r="B483" s="1" t="n">
        <v>44223</v>
      </c>
      <c r="C483" s="1" t="n">
        <v>45791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4403-2021</t>
        </is>
      </c>
      <c r="B484" s="1" t="n">
        <v>44223</v>
      </c>
      <c r="C484" s="1" t="n">
        <v>45791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4402-2021</t>
        </is>
      </c>
      <c r="B485" s="1" t="n">
        <v>44223</v>
      </c>
      <c r="C485" s="1" t="n">
        <v>45791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4482-2021</t>
        </is>
      </c>
      <c r="B486" s="1" t="n">
        <v>44224</v>
      </c>
      <c r="C486" s="1" t="n">
        <v>45791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4645-2021</t>
        </is>
      </c>
      <c r="B487" s="1" t="n">
        <v>44224</v>
      </c>
      <c r="C487" s="1" t="n">
        <v>45791</v>
      </c>
      <c r="D487" t="inlineStr">
        <is>
          <t>KRONOBERGS LÄN</t>
        </is>
      </c>
      <c r="E487" t="inlineStr">
        <is>
          <t>VÄXJÖ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4655-2021</t>
        </is>
      </c>
      <c r="B488" s="1" t="n">
        <v>44224</v>
      </c>
      <c r="C488" s="1" t="n">
        <v>45791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4665-2021</t>
        </is>
      </c>
      <c r="B489" s="1" t="n">
        <v>44224</v>
      </c>
      <c r="C489" s="1" t="n">
        <v>45791</v>
      </c>
      <c r="D489" t="inlineStr">
        <is>
          <t>KRONOBERGS LÄN</t>
        </is>
      </c>
      <c r="E489" t="inlineStr">
        <is>
          <t>VÄXJÖ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4649-2021</t>
        </is>
      </c>
      <c r="B490" s="1" t="n">
        <v>44224</v>
      </c>
      <c r="C490" s="1" t="n">
        <v>45791</v>
      </c>
      <c r="D490" t="inlineStr">
        <is>
          <t>KRONOBERGS LÄN</t>
        </is>
      </c>
      <c r="E490" t="inlineStr">
        <is>
          <t>VÄXJÖ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4666-2021</t>
        </is>
      </c>
      <c r="B491" s="1" t="n">
        <v>44224</v>
      </c>
      <c r="C491" s="1" t="n">
        <v>45791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4668-2021</t>
        </is>
      </c>
      <c r="B492" s="1" t="n">
        <v>44224</v>
      </c>
      <c r="C492" s="1" t="n">
        <v>45791</v>
      </c>
      <c r="D492" t="inlineStr">
        <is>
          <t>KRONOBERGS LÄN</t>
        </is>
      </c>
      <c r="E492" t="inlineStr">
        <is>
          <t>VÄXJÖ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4670-2021</t>
        </is>
      </c>
      <c r="B493" s="1" t="n">
        <v>44224</v>
      </c>
      <c r="C493" s="1" t="n">
        <v>45791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4667-2021</t>
        </is>
      </c>
      <c r="B494" s="1" t="n">
        <v>44224</v>
      </c>
      <c r="C494" s="1" t="n">
        <v>45791</v>
      </c>
      <c r="D494" t="inlineStr">
        <is>
          <t>KRONOBERGS LÄN</t>
        </is>
      </c>
      <c r="E494" t="inlineStr">
        <is>
          <t>VÄXJÖ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4980-2021</t>
        </is>
      </c>
      <c r="B495" s="1" t="n">
        <v>44228</v>
      </c>
      <c r="C495" s="1" t="n">
        <v>45791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5409-2021</t>
        </is>
      </c>
      <c r="B496" s="1" t="n">
        <v>44228</v>
      </c>
      <c r="C496" s="1" t="n">
        <v>45791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5403-2021</t>
        </is>
      </c>
      <c r="B497" s="1" t="n">
        <v>44229</v>
      </c>
      <c r="C497" s="1" t="n">
        <v>45791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5677-2021</t>
        </is>
      </c>
      <c r="B498" s="1" t="n">
        <v>44230</v>
      </c>
      <c r="C498" s="1" t="n">
        <v>45791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</v>
      </c>
      <c r="C499" s="1" t="n">
        <v>45791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5846-2021</t>
        </is>
      </c>
      <c r="B500" s="1" t="n">
        <v>44231</v>
      </c>
      <c r="C500" s="1" t="n">
        <v>45791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5866-2021</t>
        </is>
      </c>
      <c r="B501" s="1" t="n">
        <v>44231</v>
      </c>
      <c r="C501" s="1" t="n">
        <v>45791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5831-2021</t>
        </is>
      </c>
      <c r="B502" s="1" t="n">
        <v>44231</v>
      </c>
      <c r="C502" s="1" t="n">
        <v>45791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6449-2021</t>
        </is>
      </c>
      <c r="B503" s="1" t="n">
        <v>44235</v>
      </c>
      <c r="C503" s="1" t="n">
        <v>45791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6451-2021</t>
        </is>
      </c>
      <c r="B504" s="1" t="n">
        <v>44235</v>
      </c>
      <c r="C504" s="1" t="n">
        <v>45791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6762-2021</t>
        </is>
      </c>
      <c r="B505" s="1" t="n">
        <v>44236</v>
      </c>
      <c r="C505" s="1" t="n">
        <v>45791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6814-2021</t>
        </is>
      </c>
      <c r="B506" s="1" t="n">
        <v>44237</v>
      </c>
      <c r="C506" s="1" t="n">
        <v>45791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7083-2021</t>
        </is>
      </c>
      <c r="B507" s="1" t="n">
        <v>44238</v>
      </c>
      <c r="C507" s="1" t="n">
        <v>45791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7324-2021</t>
        </is>
      </c>
      <c r="B508" s="1" t="n">
        <v>44239</v>
      </c>
      <c r="C508" s="1" t="n">
        <v>45791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7784-2021</t>
        </is>
      </c>
      <c r="B509" s="1" t="n">
        <v>44242</v>
      </c>
      <c r="C509" s="1" t="n">
        <v>45791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7895-2021</t>
        </is>
      </c>
      <c r="B510" s="1" t="n">
        <v>44243</v>
      </c>
      <c r="C510" s="1" t="n">
        <v>45791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8165-2021</t>
        </is>
      </c>
      <c r="B511" s="1" t="n">
        <v>44244</v>
      </c>
      <c r="C511" s="1" t="n">
        <v>45791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8239-2021</t>
        </is>
      </c>
      <c r="B512" s="1" t="n">
        <v>44244</v>
      </c>
      <c r="C512" s="1" t="n">
        <v>45791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8277-2021</t>
        </is>
      </c>
      <c r="B513" s="1" t="n">
        <v>44244</v>
      </c>
      <c r="C513" s="1" t="n">
        <v>45791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8259-2021</t>
        </is>
      </c>
      <c r="B514" s="1" t="n">
        <v>44244</v>
      </c>
      <c r="C514" s="1" t="n">
        <v>45791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8281-2021</t>
        </is>
      </c>
      <c r="B515" s="1" t="n">
        <v>44244</v>
      </c>
      <c r="C515" s="1" t="n">
        <v>45791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8355-2021</t>
        </is>
      </c>
      <c r="B516" s="1" t="n">
        <v>44244</v>
      </c>
      <c r="C516" s="1" t="n">
        <v>45791</v>
      </c>
      <c r="D516" t="inlineStr">
        <is>
          <t>KRONOBERGS LÄN</t>
        </is>
      </c>
      <c r="E516" t="inlineStr">
        <is>
          <t>VÄXJÖ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8367-2021</t>
        </is>
      </c>
      <c r="B517" s="1" t="n">
        <v>44244</v>
      </c>
      <c r="C517" s="1" t="n">
        <v>45791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8599-2021</t>
        </is>
      </c>
      <c r="B518" s="1" t="n">
        <v>44245</v>
      </c>
      <c r="C518" s="1" t="n">
        <v>45791</v>
      </c>
      <c r="D518" t="inlineStr">
        <is>
          <t>KRONOBERGS LÄN</t>
        </is>
      </c>
      <c r="E518" t="inlineStr">
        <is>
          <t>VÄXJÖ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45791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8868-2021</t>
        </is>
      </c>
      <c r="B520" s="1" t="n">
        <v>44247</v>
      </c>
      <c r="C520" s="1" t="n">
        <v>45791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9583-2021</t>
        </is>
      </c>
      <c r="B521" s="1" t="n">
        <v>44251</v>
      </c>
      <c r="C521" s="1" t="n">
        <v>45791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9581-2021</t>
        </is>
      </c>
      <c r="B522" s="1" t="n">
        <v>44251</v>
      </c>
      <c r="C522" s="1" t="n">
        <v>45791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9975-2021</t>
        </is>
      </c>
      <c r="B523" s="1" t="n">
        <v>44253</v>
      </c>
      <c r="C523" s="1" t="n">
        <v>45791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9991-2021</t>
        </is>
      </c>
      <c r="B524" s="1" t="n">
        <v>44254</v>
      </c>
      <c r="C524" s="1" t="n">
        <v>45791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9990-2021</t>
        </is>
      </c>
      <c r="B525" s="1" t="n">
        <v>44254</v>
      </c>
      <c r="C525" s="1" t="n">
        <v>45791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9988-2021</t>
        </is>
      </c>
      <c r="B526" s="1" t="n">
        <v>44254</v>
      </c>
      <c r="C526" s="1" t="n">
        <v>45791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9992-2021</t>
        </is>
      </c>
      <c r="B527" s="1" t="n">
        <v>44254</v>
      </c>
      <c r="C527" s="1" t="n">
        <v>45791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10192-2021</t>
        </is>
      </c>
      <c r="B528" s="1" t="n">
        <v>44256</v>
      </c>
      <c r="C528" s="1" t="n">
        <v>45791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10228-2021</t>
        </is>
      </c>
      <c r="B529" s="1" t="n">
        <v>44256</v>
      </c>
      <c r="C529" s="1" t="n">
        <v>45791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10216-2021</t>
        </is>
      </c>
      <c r="B530" s="1" t="n">
        <v>44256</v>
      </c>
      <c r="C530" s="1" t="n">
        <v>45791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10804-2021</t>
        </is>
      </c>
      <c r="B531" s="1" t="n">
        <v>44259</v>
      </c>
      <c r="C531" s="1" t="n">
        <v>45791</v>
      </c>
      <c r="D531" t="inlineStr">
        <is>
          <t>KRONOBERGS LÄN</t>
        </is>
      </c>
      <c r="E531" t="inlineStr">
        <is>
          <t>VÄXJÖ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11182-2021</t>
        </is>
      </c>
      <c r="B532" s="1" t="n">
        <v>44262</v>
      </c>
      <c r="C532" s="1" t="n">
        <v>45791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11601-2021</t>
        </is>
      </c>
      <c r="B533" s="1" t="n">
        <v>44264</v>
      </c>
      <c r="C533" s="1" t="n">
        <v>45791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11652-2021</t>
        </is>
      </c>
      <c r="B534" s="1" t="n">
        <v>44264</v>
      </c>
      <c r="C534" s="1" t="n">
        <v>45791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11649-2021</t>
        </is>
      </c>
      <c r="B535" s="1" t="n">
        <v>44264</v>
      </c>
      <c r="C535" s="1" t="n">
        <v>45791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11651-2021</t>
        </is>
      </c>
      <c r="B536" s="1" t="n">
        <v>44264</v>
      </c>
      <c r="C536" s="1" t="n">
        <v>45791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11803-2021</t>
        </is>
      </c>
      <c r="B537" s="1" t="n">
        <v>44265</v>
      </c>
      <c r="C537" s="1" t="n">
        <v>45791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11975-2021</t>
        </is>
      </c>
      <c r="B538" s="1" t="n">
        <v>44266</v>
      </c>
      <c r="C538" s="1" t="n">
        <v>45791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12253-2021</t>
        </is>
      </c>
      <c r="B539" s="1" t="n">
        <v>44266</v>
      </c>
      <c r="C539" s="1" t="n">
        <v>45791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12377-2021</t>
        </is>
      </c>
      <c r="B540" s="1" t="n">
        <v>44267</v>
      </c>
      <c r="C540" s="1" t="n">
        <v>45791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12404-2021</t>
        </is>
      </c>
      <c r="B541" s="1" t="n">
        <v>44267</v>
      </c>
      <c r="C541" s="1" t="n">
        <v>45791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13672-2021</t>
        </is>
      </c>
      <c r="B542" s="1" t="n">
        <v>44274</v>
      </c>
      <c r="C542" s="1" t="n">
        <v>45791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13722-2021</t>
        </is>
      </c>
      <c r="B543" s="1" t="n">
        <v>44274</v>
      </c>
      <c r="C543" s="1" t="n">
        <v>45791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13892-2021</t>
        </is>
      </c>
      <c r="B544" s="1" t="n">
        <v>44277</v>
      </c>
      <c r="C544" s="1" t="n">
        <v>45791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15272-2021</t>
        </is>
      </c>
      <c r="B545" s="1" t="n">
        <v>44284</v>
      </c>
      <c r="C545" s="1" t="n">
        <v>45791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15551-2021</t>
        </is>
      </c>
      <c r="B546" s="1" t="n">
        <v>44285</v>
      </c>
      <c r="C546" s="1" t="n">
        <v>45791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15749-2021</t>
        </is>
      </c>
      <c r="B547" s="1" t="n">
        <v>44286</v>
      </c>
      <c r="C547" s="1" t="n">
        <v>45791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16290-2021</t>
        </is>
      </c>
      <c r="B548" s="1" t="n">
        <v>44292</v>
      </c>
      <c r="C548" s="1" t="n">
        <v>45791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16162-2021</t>
        </is>
      </c>
      <c r="B549" s="1" t="n">
        <v>44292</v>
      </c>
      <c r="C549" s="1" t="n">
        <v>45791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16948-2021</t>
        </is>
      </c>
      <c r="B550" s="1" t="n">
        <v>44295</v>
      </c>
      <c r="C550" s="1" t="n">
        <v>45791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16949-2021</t>
        </is>
      </c>
      <c r="B551" s="1" t="n">
        <v>44295</v>
      </c>
      <c r="C551" s="1" t="n">
        <v>45791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17188-2021</t>
        </is>
      </c>
      <c r="B552" s="1" t="n">
        <v>44298</v>
      </c>
      <c r="C552" s="1" t="n">
        <v>45791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17388-2021</t>
        </is>
      </c>
      <c r="B553" s="1" t="n">
        <v>44298</v>
      </c>
      <c r="C553" s="1" t="n">
        <v>45791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17485-2021</t>
        </is>
      </c>
      <c r="B554" s="1" t="n">
        <v>44299</v>
      </c>
      <c r="C554" s="1" t="n">
        <v>45791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18233-2021</t>
        </is>
      </c>
      <c r="B555" s="1" t="n">
        <v>44303</v>
      </c>
      <c r="C555" s="1" t="n">
        <v>45791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18426-2021</t>
        </is>
      </c>
      <c r="B556" s="1" t="n">
        <v>44305</v>
      </c>
      <c r="C556" s="1" t="n">
        <v>45791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18419-2021</t>
        </is>
      </c>
      <c r="B557" s="1" t="n">
        <v>44305</v>
      </c>
      <c r="C557" s="1" t="n">
        <v>45791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18458-2021</t>
        </is>
      </c>
      <c r="B558" s="1" t="n">
        <v>44305</v>
      </c>
      <c r="C558" s="1" t="n">
        <v>45791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19495-2021</t>
        </is>
      </c>
      <c r="B559" s="1" t="n">
        <v>44308</v>
      </c>
      <c r="C559" s="1" t="n">
        <v>45791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19501-2021</t>
        </is>
      </c>
      <c r="B560" s="1" t="n">
        <v>44308</v>
      </c>
      <c r="C560" s="1" t="n">
        <v>45791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20148-2021</t>
        </is>
      </c>
      <c r="B561" s="1" t="n">
        <v>44314</v>
      </c>
      <c r="C561" s="1" t="n">
        <v>45791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20147-2021</t>
        </is>
      </c>
      <c r="B562" s="1" t="n">
        <v>44314</v>
      </c>
      <c r="C562" s="1" t="n">
        <v>45791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20809-2021</t>
        </is>
      </c>
      <c r="B563" s="1" t="n">
        <v>44317</v>
      </c>
      <c r="C563" s="1" t="n">
        <v>45791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21239-2021</t>
        </is>
      </c>
      <c r="B564" s="1" t="n">
        <v>44320</v>
      </c>
      <c r="C564" s="1" t="n">
        <v>45791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21609-2021</t>
        </is>
      </c>
      <c r="B565" s="1" t="n">
        <v>44321</v>
      </c>
      <c r="C565" s="1" t="n">
        <v>45791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21777-2021</t>
        </is>
      </c>
      <c r="B566" s="1" t="n">
        <v>44322</v>
      </c>
      <c r="C566" s="1" t="n">
        <v>45791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21856-2021</t>
        </is>
      </c>
      <c r="B567" s="1" t="n">
        <v>44322</v>
      </c>
      <c r="C567" s="1" t="n">
        <v>45791</v>
      </c>
      <c r="D567" t="inlineStr">
        <is>
          <t>KRONOBERGS LÄN</t>
        </is>
      </c>
      <c r="E567" t="inlineStr">
        <is>
          <t>VÄXJÖ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21850-2021</t>
        </is>
      </c>
      <c r="B568" s="1" t="n">
        <v>44322</v>
      </c>
      <c r="C568" s="1" t="n">
        <v>45791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22738-2021</t>
        </is>
      </c>
      <c r="B569" s="1" t="n">
        <v>44323</v>
      </c>
      <c r="C569" s="1" t="n">
        <v>45791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22010-2021</t>
        </is>
      </c>
      <c r="B570" s="1" t="n">
        <v>44323</v>
      </c>
      <c r="C570" s="1" t="n">
        <v>45791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22397-2021</t>
        </is>
      </c>
      <c r="B571" s="1" t="n">
        <v>44326</v>
      </c>
      <c r="C571" s="1" t="n">
        <v>45791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22576-2021</t>
        </is>
      </c>
      <c r="B572" s="1" t="n">
        <v>44327</v>
      </c>
      <c r="C572" s="1" t="n">
        <v>45791</v>
      </c>
      <c r="D572" t="inlineStr">
        <is>
          <t>KRONOBERGS LÄN</t>
        </is>
      </c>
      <c r="E572" t="inlineStr">
        <is>
          <t>VÄXJÖ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22614-2021</t>
        </is>
      </c>
      <c r="B573" s="1" t="n">
        <v>44327</v>
      </c>
      <c r="C573" s="1" t="n">
        <v>45791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23381-2021</t>
        </is>
      </c>
      <c r="B574" s="1" t="n">
        <v>44333</v>
      </c>
      <c r="C574" s="1" t="n">
        <v>45791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23541-2021</t>
        </is>
      </c>
      <c r="B575" s="1" t="n">
        <v>44334</v>
      </c>
      <c r="C575" s="1" t="n">
        <v>45791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23535-2021</t>
        </is>
      </c>
      <c r="B576" s="1" t="n">
        <v>44334</v>
      </c>
      <c r="C576" s="1" t="n">
        <v>45791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23634-2021</t>
        </is>
      </c>
      <c r="B577" s="1" t="n">
        <v>44334</v>
      </c>
      <c r="C577" s="1" t="n">
        <v>45791</v>
      </c>
      <c r="D577" t="inlineStr">
        <is>
          <t>KRONOBERGS LÄN</t>
        </is>
      </c>
      <c r="E577" t="inlineStr">
        <is>
          <t>VÄXJÖ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24204-2021</t>
        </is>
      </c>
      <c r="B578" s="1" t="n">
        <v>44336</v>
      </c>
      <c r="C578" s="1" t="n">
        <v>45791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24189-2021</t>
        </is>
      </c>
      <c r="B579" s="1" t="n">
        <v>44336</v>
      </c>
      <c r="C579" s="1" t="n">
        <v>45791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24226-2021</t>
        </is>
      </c>
      <c r="B580" s="1" t="n">
        <v>44336</v>
      </c>
      <c r="C580" s="1" t="n">
        <v>45791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24730-2021</t>
        </is>
      </c>
      <c r="B581" s="1" t="n">
        <v>44340</v>
      </c>
      <c r="C581" s="1" t="n">
        <v>45791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27081-2021</t>
        </is>
      </c>
      <c r="B582" s="1" t="n">
        <v>44350</v>
      </c>
      <c r="C582" s="1" t="n">
        <v>45791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27548-2021</t>
        </is>
      </c>
      <c r="B583" s="1" t="n">
        <v>44351</v>
      </c>
      <c r="C583" s="1" t="n">
        <v>45791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27491-2021</t>
        </is>
      </c>
      <c r="B584" s="1" t="n">
        <v>44351</v>
      </c>
      <c r="C584" s="1" t="n">
        <v>45791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27686-2021</t>
        </is>
      </c>
      <c r="B585" s="1" t="n">
        <v>44354</v>
      </c>
      <c r="C585" s="1" t="n">
        <v>45791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27714-2021</t>
        </is>
      </c>
      <c r="B586" s="1" t="n">
        <v>44354</v>
      </c>
      <c r="C586" s="1" t="n">
        <v>45791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27760-2021</t>
        </is>
      </c>
      <c r="B587" s="1" t="n">
        <v>44354</v>
      </c>
      <c r="C587" s="1" t="n">
        <v>45791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27832-2021</t>
        </is>
      </c>
      <c r="B588" s="1" t="n">
        <v>44354</v>
      </c>
      <c r="C588" s="1" t="n">
        <v>45791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27883-2021</t>
        </is>
      </c>
      <c r="B589" s="1" t="n">
        <v>44354</v>
      </c>
      <c r="C589" s="1" t="n">
        <v>45791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27941-2021</t>
        </is>
      </c>
      <c r="B590" s="1" t="n">
        <v>44354</v>
      </c>
      <c r="C590" s="1" t="n">
        <v>45791</v>
      </c>
      <c r="D590" t="inlineStr">
        <is>
          <t>KRONOBERGS LÄN</t>
        </is>
      </c>
      <c r="E590" t="inlineStr">
        <is>
          <t>VÄXJÖ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28016-2021</t>
        </is>
      </c>
      <c r="B591" s="1" t="n">
        <v>44355</v>
      </c>
      <c r="C591" s="1" t="n">
        <v>45791</v>
      </c>
      <c r="D591" t="inlineStr">
        <is>
          <t>KRONOBERGS LÄN</t>
        </is>
      </c>
      <c r="E591" t="inlineStr">
        <is>
          <t>VÄXJÖ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28179-2021</t>
        </is>
      </c>
      <c r="B592" s="1" t="n">
        <v>44355</v>
      </c>
      <c r="C592" s="1" t="n">
        <v>45791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28832-2021</t>
        </is>
      </c>
      <c r="B593" s="1" t="n">
        <v>44357</v>
      </c>
      <c r="C593" s="1" t="n">
        <v>45791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45791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29183-2021</t>
        </is>
      </c>
      <c r="B595" s="1" t="n">
        <v>44358</v>
      </c>
      <c r="C595" s="1" t="n">
        <v>45791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29297-2021</t>
        </is>
      </c>
      <c r="B596" s="1" t="n">
        <v>44361</v>
      </c>
      <c r="C596" s="1" t="n">
        <v>45791</v>
      </c>
      <c r="D596" t="inlineStr">
        <is>
          <t>KRONOBERGS LÄN</t>
        </is>
      </c>
      <c r="E596" t="inlineStr">
        <is>
          <t>VÄXJÖ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29974-2021</t>
        </is>
      </c>
      <c r="B597" s="1" t="n">
        <v>44363</v>
      </c>
      <c r="C597" s="1" t="n">
        <v>45791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31012-2021</t>
        </is>
      </c>
      <c r="B598" s="1" t="n">
        <v>44367</v>
      </c>
      <c r="C598" s="1" t="n">
        <v>45791</v>
      </c>
      <c r="D598" t="inlineStr">
        <is>
          <t>KRONOBERGS LÄN</t>
        </is>
      </c>
      <c r="E598" t="inlineStr">
        <is>
          <t>VÄXJÖ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31461-2021</t>
        </is>
      </c>
      <c r="B599" s="1" t="n">
        <v>44369</v>
      </c>
      <c r="C599" s="1" t="n">
        <v>45791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31635-2021</t>
        </is>
      </c>
      <c r="B600" s="1" t="n">
        <v>44369</v>
      </c>
      <c r="C600" s="1" t="n">
        <v>45791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32010-2021</t>
        </is>
      </c>
      <c r="B601" s="1" t="n">
        <v>44370</v>
      </c>
      <c r="C601" s="1" t="n">
        <v>45791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32549-2021</t>
        </is>
      </c>
      <c r="B602" s="1" t="n">
        <v>44370</v>
      </c>
      <c r="C602" s="1" t="n">
        <v>45791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33142-2021</t>
        </is>
      </c>
      <c r="B603" s="1" t="n">
        <v>44376</v>
      </c>
      <c r="C603" s="1" t="n">
        <v>45791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33457-2021</t>
        </is>
      </c>
      <c r="B604" s="1" t="n">
        <v>44377</v>
      </c>
      <c r="C604" s="1" t="n">
        <v>45791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34229-2021</t>
        </is>
      </c>
      <c r="B605" s="1" t="n">
        <v>44379</v>
      </c>
      <c r="C605" s="1" t="n">
        <v>45791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34214-2021</t>
        </is>
      </c>
      <c r="B606" s="1" t="n">
        <v>44379</v>
      </c>
      <c r="C606" s="1" t="n">
        <v>45791</v>
      </c>
      <c r="D606" t="inlineStr">
        <is>
          <t>KRONOBERGS LÄN</t>
        </is>
      </c>
      <c r="E606" t="inlineStr">
        <is>
          <t>VÄXJÖ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34230-2021</t>
        </is>
      </c>
      <c r="B607" s="1" t="n">
        <v>44379</v>
      </c>
      <c r="C607" s="1" t="n">
        <v>45791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35183-2021</t>
        </is>
      </c>
      <c r="B608" s="1" t="n">
        <v>44384</v>
      </c>
      <c r="C608" s="1" t="n">
        <v>45791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35315-2021</t>
        </is>
      </c>
      <c r="B609" s="1" t="n">
        <v>44384</v>
      </c>
      <c r="C609" s="1" t="n">
        <v>45791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35179-2021</t>
        </is>
      </c>
      <c r="B610" s="1" t="n">
        <v>44384</v>
      </c>
      <c r="C610" s="1" t="n">
        <v>45791</v>
      </c>
      <c r="D610" t="inlineStr">
        <is>
          <t>KRONOBERGS LÄN</t>
        </is>
      </c>
      <c r="E610" t="inlineStr">
        <is>
          <t>VÄXJÖ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35184-2021</t>
        </is>
      </c>
      <c r="B611" s="1" t="n">
        <v>44384</v>
      </c>
      <c r="C611" s="1" t="n">
        <v>45791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35807-2021</t>
        </is>
      </c>
      <c r="B612" s="1" t="n">
        <v>44386</v>
      </c>
      <c r="C612" s="1" t="n">
        <v>45791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35819-2021</t>
        </is>
      </c>
      <c r="B613" s="1" t="n">
        <v>44386</v>
      </c>
      <c r="C613" s="1" t="n">
        <v>45791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35882-2021</t>
        </is>
      </c>
      <c r="B614" s="1" t="n">
        <v>44387</v>
      </c>
      <c r="C614" s="1" t="n">
        <v>45791</v>
      </c>
      <c r="D614" t="inlineStr">
        <is>
          <t>KRONOBERGS LÄN</t>
        </is>
      </c>
      <c r="E614" t="inlineStr">
        <is>
          <t>VÄXJÖ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36089-2021</t>
        </is>
      </c>
      <c r="B615" s="1" t="n">
        <v>44389</v>
      </c>
      <c r="C615" s="1" t="n">
        <v>45791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36115-2021</t>
        </is>
      </c>
      <c r="B616" s="1" t="n">
        <v>44389</v>
      </c>
      <c r="C616" s="1" t="n">
        <v>45791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37111-2021</t>
        </is>
      </c>
      <c r="B617" s="1" t="n">
        <v>44393</v>
      </c>
      <c r="C617" s="1" t="n">
        <v>45791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37113-2021</t>
        </is>
      </c>
      <c r="B618" s="1" t="n">
        <v>44393</v>
      </c>
      <c r="C618" s="1" t="n">
        <v>45791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37112-2021</t>
        </is>
      </c>
      <c r="B619" s="1" t="n">
        <v>44393</v>
      </c>
      <c r="C619" s="1" t="n">
        <v>45791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37324-2021</t>
        </is>
      </c>
      <c r="B620" s="1" t="n">
        <v>44396</v>
      </c>
      <c r="C620" s="1" t="n">
        <v>45791</v>
      </c>
      <c r="D620" t="inlineStr">
        <is>
          <t>KRONOBERGS LÄN</t>
        </is>
      </c>
      <c r="E620" t="inlineStr">
        <is>
          <t>VÄXJÖ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37311-2021</t>
        </is>
      </c>
      <c r="B621" s="1" t="n">
        <v>44397</v>
      </c>
      <c r="C621" s="1" t="n">
        <v>45791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37355-2021</t>
        </is>
      </c>
      <c r="B622" s="1" t="n">
        <v>44397</v>
      </c>
      <c r="C622" s="1" t="n">
        <v>45791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37713-2021</t>
        </is>
      </c>
      <c r="B623" s="1" t="n">
        <v>44400</v>
      </c>
      <c r="C623" s="1" t="n">
        <v>45791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38344-2021</t>
        </is>
      </c>
      <c r="B624" s="1" t="n">
        <v>44406</v>
      </c>
      <c r="C624" s="1" t="n">
        <v>45791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39080-2021</t>
        </is>
      </c>
      <c r="B625" s="1" t="n">
        <v>44412</v>
      </c>
      <c r="C625" s="1" t="n">
        <v>45791</v>
      </c>
      <c r="D625" t="inlineStr">
        <is>
          <t>KRONOBERGS LÄN</t>
        </is>
      </c>
      <c r="E625" t="inlineStr">
        <is>
          <t>VÄXJÖ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39550-2021</t>
        </is>
      </c>
      <c r="B626" s="1" t="n">
        <v>44416</v>
      </c>
      <c r="C626" s="1" t="n">
        <v>45791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40496-2021</t>
        </is>
      </c>
      <c r="B627" s="1" t="n">
        <v>44420</v>
      </c>
      <c r="C627" s="1" t="n">
        <v>45791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40494-2021</t>
        </is>
      </c>
      <c r="B628" s="1" t="n">
        <v>44420</v>
      </c>
      <c r="C628" s="1" t="n">
        <v>45791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41305-2021</t>
        </is>
      </c>
      <c r="B629" s="1" t="n">
        <v>44424</v>
      </c>
      <c r="C629" s="1" t="n">
        <v>45791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41354-2021</t>
        </is>
      </c>
      <c r="B630" s="1" t="n">
        <v>44424</v>
      </c>
      <c r="C630" s="1" t="n">
        <v>45791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41458-2021</t>
        </is>
      </c>
      <c r="B631" s="1" t="n">
        <v>44424</v>
      </c>
      <c r="C631" s="1" t="n">
        <v>45791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42037-2021</t>
        </is>
      </c>
      <c r="B632" s="1" t="n">
        <v>44426</v>
      </c>
      <c r="C632" s="1" t="n">
        <v>45791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42005-2021</t>
        </is>
      </c>
      <c r="B633" s="1" t="n">
        <v>44426</v>
      </c>
      <c r="C633" s="1" t="n">
        <v>45791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42191-2021</t>
        </is>
      </c>
      <c r="B634" s="1" t="n">
        <v>44426</v>
      </c>
      <c r="C634" s="1" t="n">
        <v>45791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42182-2021</t>
        </is>
      </c>
      <c r="B635" s="1" t="n">
        <v>44426</v>
      </c>
      <c r="C635" s="1" t="n">
        <v>45791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45791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42468-2021</t>
        </is>
      </c>
      <c r="B637" s="1" t="n">
        <v>44427</v>
      </c>
      <c r="C637" s="1" t="n">
        <v>45791</v>
      </c>
      <c r="D637" t="inlineStr">
        <is>
          <t>KRONOBERGS LÄN</t>
        </is>
      </c>
      <c r="E637" t="inlineStr">
        <is>
          <t>VÄXJÖ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42483-2021</t>
        </is>
      </c>
      <c r="B638" s="1" t="n">
        <v>44427</v>
      </c>
      <c r="C638" s="1" t="n">
        <v>45791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42651-2021</t>
        </is>
      </c>
      <c r="B639" s="1" t="n">
        <v>44428</v>
      </c>
      <c r="C639" s="1" t="n">
        <v>45791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42685-2021</t>
        </is>
      </c>
      <c r="B640" s="1" t="n">
        <v>44428</v>
      </c>
      <c r="C640" s="1" t="n">
        <v>45791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43395-2021</t>
        </is>
      </c>
      <c r="B641" s="1" t="n">
        <v>44432</v>
      </c>
      <c r="C641" s="1" t="n">
        <v>45791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43629-2021</t>
        </is>
      </c>
      <c r="B642" s="1" t="n">
        <v>44433</v>
      </c>
      <c r="C642" s="1" t="n">
        <v>45791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43910-2021</t>
        </is>
      </c>
      <c r="B643" s="1" t="n">
        <v>44434</v>
      </c>
      <c r="C643" s="1" t="n">
        <v>45791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43899-2021</t>
        </is>
      </c>
      <c r="B644" s="1" t="n">
        <v>44434</v>
      </c>
      <c r="C644" s="1" t="n">
        <v>45791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43984-2021</t>
        </is>
      </c>
      <c r="B645" s="1" t="n">
        <v>44434</v>
      </c>
      <c r="C645" s="1" t="n">
        <v>45791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44691-2021</t>
        </is>
      </c>
      <c r="B646" s="1" t="n">
        <v>44438</v>
      </c>
      <c r="C646" s="1" t="n">
        <v>45791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44819-2021</t>
        </is>
      </c>
      <c r="B647" s="1" t="n">
        <v>44438</v>
      </c>
      <c r="C647" s="1" t="n">
        <v>45791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44757-2021</t>
        </is>
      </c>
      <c r="B648" s="1" t="n">
        <v>44438</v>
      </c>
      <c r="C648" s="1" t="n">
        <v>45791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44772-2021</t>
        </is>
      </c>
      <c r="B649" s="1" t="n">
        <v>44438</v>
      </c>
      <c r="C649" s="1" t="n">
        <v>45791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45054-2021</t>
        </is>
      </c>
      <c r="B650" s="1" t="n">
        <v>44439</v>
      </c>
      <c r="C650" s="1" t="n">
        <v>45791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46254-2021</t>
        </is>
      </c>
      <c r="B651" s="1" t="n">
        <v>44442</v>
      </c>
      <c r="C651" s="1" t="n">
        <v>45791</v>
      </c>
      <c r="D651" t="inlineStr">
        <is>
          <t>KRONOBERGS LÄN</t>
        </is>
      </c>
      <c r="E651" t="inlineStr">
        <is>
          <t>VÄXJÖ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46246-2021</t>
        </is>
      </c>
      <c r="B652" s="1" t="n">
        <v>44442</v>
      </c>
      <c r="C652" s="1" t="n">
        <v>45791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46446-2021</t>
        </is>
      </c>
      <c r="B653" s="1" t="n">
        <v>44445</v>
      </c>
      <c r="C653" s="1" t="n">
        <v>45791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46842-2021</t>
        </is>
      </c>
      <c r="B654" s="1" t="n">
        <v>44446</v>
      </c>
      <c r="C654" s="1" t="n">
        <v>45791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48472-2021</t>
        </is>
      </c>
      <c r="B655" s="1" t="n">
        <v>44452</v>
      </c>
      <c r="C655" s="1" t="n">
        <v>45791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48475-2021</t>
        </is>
      </c>
      <c r="B656" s="1" t="n">
        <v>44452</v>
      </c>
      <c r="C656" s="1" t="n">
        <v>45791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</v>
      </c>
      <c r="C657" s="1" t="n">
        <v>45791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50231-2021</t>
        </is>
      </c>
      <c r="B658" s="1" t="n">
        <v>44457</v>
      </c>
      <c r="C658" s="1" t="n">
        <v>45791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50240-2021</t>
        </is>
      </c>
      <c r="B659" s="1" t="n">
        <v>44458</v>
      </c>
      <c r="C659" s="1" t="n">
        <v>45791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51347-2021</t>
        </is>
      </c>
      <c r="B660" s="1" t="n">
        <v>44461</v>
      </c>
      <c r="C660" s="1" t="n">
        <v>45791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51385-2021</t>
        </is>
      </c>
      <c r="B661" s="1" t="n">
        <v>44461</v>
      </c>
      <c r="C661" s="1" t="n">
        <v>45791</v>
      </c>
      <c r="D661" t="inlineStr">
        <is>
          <t>KRONOBERGS LÄN</t>
        </is>
      </c>
      <c r="E661" t="inlineStr">
        <is>
          <t>VÄXJÖ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52038-2021</t>
        </is>
      </c>
      <c r="B662" s="1" t="n">
        <v>44463</v>
      </c>
      <c r="C662" s="1" t="n">
        <v>45791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52610-2021</t>
        </is>
      </c>
      <c r="B663" s="1" t="n">
        <v>44466</v>
      </c>
      <c r="C663" s="1" t="n">
        <v>45791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52604-2021</t>
        </is>
      </c>
      <c r="B664" s="1" t="n">
        <v>44466</v>
      </c>
      <c r="C664" s="1" t="n">
        <v>45791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53389-2021</t>
        </is>
      </c>
      <c r="B665" s="1" t="n">
        <v>44468</v>
      </c>
      <c r="C665" s="1" t="n">
        <v>45791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53135-2021</t>
        </is>
      </c>
      <c r="B666" s="1" t="n">
        <v>44468</v>
      </c>
      <c r="C666" s="1" t="n">
        <v>45791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53282-2021</t>
        </is>
      </c>
      <c r="B667" s="1" t="n">
        <v>44468</v>
      </c>
      <c r="C667" s="1" t="n">
        <v>45791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54210-2021</t>
        </is>
      </c>
      <c r="B668" s="1" t="n">
        <v>44470</v>
      </c>
      <c r="C668" s="1" t="n">
        <v>45791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54147-2021</t>
        </is>
      </c>
      <c r="B669" s="1" t="n">
        <v>44470</v>
      </c>
      <c r="C669" s="1" t="n">
        <v>45791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54236-2021</t>
        </is>
      </c>
      <c r="B670" s="1" t="n">
        <v>44470</v>
      </c>
      <c r="C670" s="1" t="n">
        <v>45791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54390-2021</t>
        </is>
      </c>
      <c r="B671" s="1" t="n">
        <v>44473</v>
      </c>
      <c r="C671" s="1" t="n">
        <v>45791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54389-2021</t>
        </is>
      </c>
      <c r="B672" s="1" t="n">
        <v>44473</v>
      </c>
      <c r="C672" s="1" t="n">
        <v>45791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54673-2021</t>
        </is>
      </c>
      <c r="B673" s="1" t="n">
        <v>44473</v>
      </c>
      <c r="C673" s="1" t="n">
        <v>45791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54972-2021</t>
        </is>
      </c>
      <c r="B674" s="1" t="n">
        <v>44474</v>
      </c>
      <c r="C674" s="1" t="n">
        <v>45791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54852-2021</t>
        </is>
      </c>
      <c r="B675" s="1" t="n">
        <v>44474</v>
      </c>
      <c r="C675" s="1" t="n">
        <v>45791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54874-2021</t>
        </is>
      </c>
      <c r="B676" s="1" t="n">
        <v>44474</v>
      </c>
      <c r="C676" s="1" t="n">
        <v>45791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54906-2021</t>
        </is>
      </c>
      <c r="B677" s="1" t="n">
        <v>44474</v>
      </c>
      <c r="C677" s="1" t="n">
        <v>45791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55174-2021</t>
        </is>
      </c>
      <c r="B678" s="1" t="n">
        <v>44474</v>
      </c>
      <c r="C678" s="1" t="n">
        <v>45791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55170-2021</t>
        </is>
      </c>
      <c r="B679" s="1" t="n">
        <v>44474</v>
      </c>
      <c r="C679" s="1" t="n">
        <v>45791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45791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56544-2021</t>
        </is>
      </c>
      <c r="B681" s="1" t="n">
        <v>44480</v>
      </c>
      <c r="C681" s="1" t="n">
        <v>45791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57276-2021</t>
        </is>
      </c>
      <c r="B682" s="1" t="n">
        <v>44483</v>
      </c>
      <c r="C682" s="1" t="n">
        <v>45791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57402-2021</t>
        </is>
      </c>
      <c r="B683" s="1" t="n">
        <v>44483</v>
      </c>
      <c r="C683" s="1" t="n">
        <v>45791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57272-2021</t>
        </is>
      </c>
      <c r="B684" s="1" t="n">
        <v>44483</v>
      </c>
      <c r="C684" s="1" t="n">
        <v>45791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58060-2021</t>
        </is>
      </c>
      <c r="B685" s="1" t="n">
        <v>44487</v>
      </c>
      <c r="C685" s="1" t="n">
        <v>45791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58827-2021</t>
        </is>
      </c>
      <c r="B686" s="1" t="n">
        <v>44489</v>
      </c>
      <c r="C686" s="1" t="n">
        <v>45791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58903-2021</t>
        </is>
      </c>
      <c r="B687" s="1" t="n">
        <v>44489</v>
      </c>
      <c r="C687" s="1" t="n">
        <v>45791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58916-2021</t>
        </is>
      </c>
      <c r="B688" s="1" t="n">
        <v>44489</v>
      </c>
      <c r="C688" s="1" t="n">
        <v>45791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58824-2021</t>
        </is>
      </c>
      <c r="B689" s="1" t="n">
        <v>44489</v>
      </c>
      <c r="C689" s="1" t="n">
        <v>45791</v>
      </c>
      <c r="D689" t="inlineStr">
        <is>
          <t>KRONOBERGS LÄN</t>
        </is>
      </c>
      <c r="E689" t="inlineStr">
        <is>
          <t>VÄXJÖ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58993-2021</t>
        </is>
      </c>
      <c r="B690" s="1" t="n">
        <v>44490</v>
      </c>
      <c r="C690" s="1" t="n">
        <v>45791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59237-2021</t>
        </is>
      </c>
      <c r="B691" s="1" t="n">
        <v>44490</v>
      </c>
      <c r="C691" s="1" t="n">
        <v>45791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59529-2021</t>
        </is>
      </c>
      <c r="B692" s="1" t="n">
        <v>44491</v>
      </c>
      <c r="C692" s="1" t="n">
        <v>45791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59667-2021</t>
        </is>
      </c>
      <c r="B693" s="1" t="n">
        <v>44494</v>
      </c>
      <c r="C693" s="1" t="n">
        <v>45791</v>
      </c>
      <c r="D693" t="inlineStr">
        <is>
          <t>KRONOBERGS LÄN</t>
        </is>
      </c>
      <c r="E693" t="inlineStr">
        <is>
          <t>VÄXJÖ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59873-2021</t>
        </is>
      </c>
      <c r="B694" s="1" t="n">
        <v>44494</v>
      </c>
      <c r="C694" s="1" t="n">
        <v>45791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45791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60233-2021</t>
        </is>
      </c>
      <c r="B696" s="1" t="n">
        <v>44495</v>
      </c>
      <c r="C696" s="1" t="n">
        <v>45791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60350-2021</t>
        </is>
      </c>
      <c r="B697" s="1" t="n">
        <v>44496</v>
      </c>
      <c r="C697" s="1" t="n">
        <v>45791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60349-2021</t>
        </is>
      </c>
      <c r="B698" s="1" t="n">
        <v>44496</v>
      </c>
      <c r="C698" s="1" t="n">
        <v>45791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61339-2021</t>
        </is>
      </c>
      <c r="B699" s="1" t="n">
        <v>44498</v>
      </c>
      <c r="C699" s="1" t="n">
        <v>45791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61347-2021</t>
        </is>
      </c>
      <c r="B700" s="1" t="n">
        <v>44498</v>
      </c>
      <c r="C700" s="1" t="n">
        <v>45791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61585-2021</t>
        </is>
      </c>
      <c r="B701" s="1" t="n">
        <v>44501</v>
      </c>
      <c r="C701" s="1" t="n">
        <v>45791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60357-2021</t>
        </is>
      </c>
      <c r="B702" s="1" t="n">
        <v>44501</v>
      </c>
      <c r="C702" s="1" t="n">
        <v>45791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45791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62163-2021</t>
        </is>
      </c>
      <c r="B704" s="1" t="n">
        <v>44502</v>
      </c>
      <c r="C704" s="1" t="n">
        <v>45791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62164-2021</t>
        </is>
      </c>
      <c r="B705" s="1" t="n">
        <v>44502</v>
      </c>
      <c r="C705" s="1" t="n">
        <v>45791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62160-2021</t>
        </is>
      </c>
      <c r="B706" s="1" t="n">
        <v>44502</v>
      </c>
      <c r="C706" s="1" t="n">
        <v>45791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62159-2021</t>
        </is>
      </c>
      <c r="B707" s="1" t="n">
        <v>44502</v>
      </c>
      <c r="C707" s="1" t="n">
        <v>45791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63278-2021</t>
        </is>
      </c>
      <c r="B708" s="1" t="n">
        <v>44508</v>
      </c>
      <c r="C708" s="1" t="n">
        <v>45791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63420-2021</t>
        </is>
      </c>
      <c r="B709" s="1" t="n">
        <v>44508</v>
      </c>
      <c r="C709" s="1" t="n">
        <v>45791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64326-2021</t>
        </is>
      </c>
      <c r="B710" s="1" t="n">
        <v>44511</v>
      </c>
      <c r="C710" s="1" t="n">
        <v>45791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64845-2021</t>
        </is>
      </c>
      <c r="B711" s="1" t="n">
        <v>44512</v>
      </c>
      <c r="C711" s="1" t="n">
        <v>45791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65204-2021</t>
        </is>
      </c>
      <c r="B712" s="1" t="n">
        <v>44515</v>
      </c>
      <c r="C712" s="1" t="n">
        <v>45791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65206-2021</t>
        </is>
      </c>
      <c r="B713" s="1" t="n">
        <v>44515</v>
      </c>
      <c r="C713" s="1" t="n">
        <v>45791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65672-2021</t>
        </is>
      </c>
      <c r="B714" s="1" t="n">
        <v>44516</v>
      </c>
      <c r="C714" s="1" t="n">
        <v>45791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65664-2021</t>
        </is>
      </c>
      <c r="B715" s="1" t="n">
        <v>44516</v>
      </c>
      <c r="C715" s="1" t="n">
        <v>45791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65681-2021</t>
        </is>
      </c>
      <c r="B716" s="1" t="n">
        <v>44516</v>
      </c>
      <c r="C716" s="1" t="n">
        <v>45791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66328-2021</t>
        </is>
      </c>
      <c r="B717" s="1" t="n">
        <v>44518</v>
      </c>
      <c r="C717" s="1" t="n">
        <v>45791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66677-2021</t>
        </is>
      </c>
      <c r="B718" s="1" t="n">
        <v>44519</v>
      </c>
      <c r="C718" s="1" t="n">
        <v>45791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66863-2021</t>
        </is>
      </c>
      <c r="B719" s="1" t="n">
        <v>44522</v>
      </c>
      <c r="C719" s="1" t="n">
        <v>45791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66862-2021</t>
        </is>
      </c>
      <c r="B720" s="1" t="n">
        <v>44522</v>
      </c>
      <c r="C720" s="1" t="n">
        <v>45791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67304-2021</t>
        </is>
      </c>
      <c r="B721" s="1" t="n">
        <v>44523</v>
      </c>
      <c r="C721" s="1" t="n">
        <v>45791</v>
      </c>
      <c r="D721" t="inlineStr">
        <is>
          <t>KRONOBERGS LÄN</t>
        </is>
      </c>
      <c r="E721" t="inlineStr">
        <is>
          <t>VÄXJÖ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67589-2021</t>
        </is>
      </c>
      <c r="B722" s="1" t="n">
        <v>44524</v>
      </c>
      <c r="C722" s="1" t="n">
        <v>45791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68062-2021</t>
        </is>
      </c>
      <c r="B723" s="1" t="n">
        <v>44526</v>
      </c>
      <c r="C723" s="1" t="n">
        <v>45791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45791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69748-2021</t>
        </is>
      </c>
      <c r="B725" s="1" t="n">
        <v>44532</v>
      </c>
      <c r="C725" s="1" t="n">
        <v>45791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69752-2021</t>
        </is>
      </c>
      <c r="B726" s="1" t="n">
        <v>44532</v>
      </c>
      <c r="C726" s="1" t="n">
        <v>45791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69844-2021</t>
        </is>
      </c>
      <c r="B727" s="1" t="n">
        <v>44532</v>
      </c>
      <c r="C727" s="1" t="n">
        <v>45791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69842-2021</t>
        </is>
      </c>
      <c r="B728" s="1" t="n">
        <v>44532</v>
      </c>
      <c r="C728" s="1" t="n">
        <v>45791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70401-2021</t>
        </is>
      </c>
      <c r="B729" s="1" t="n">
        <v>44536</v>
      </c>
      <c r="C729" s="1" t="n">
        <v>45791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70395-2021</t>
        </is>
      </c>
      <c r="B730" s="1" t="n">
        <v>44536</v>
      </c>
      <c r="C730" s="1" t="n">
        <v>45791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70486-2021</t>
        </is>
      </c>
      <c r="B731" s="1" t="n">
        <v>44536</v>
      </c>
      <c r="C731" s="1" t="n">
        <v>45791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70484-2021</t>
        </is>
      </c>
      <c r="B732" s="1" t="n">
        <v>44536</v>
      </c>
      <c r="C732" s="1" t="n">
        <v>45791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70482-2021</t>
        </is>
      </c>
      <c r="B733" s="1" t="n">
        <v>44536</v>
      </c>
      <c r="C733" s="1" t="n">
        <v>45791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70487-2021</t>
        </is>
      </c>
      <c r="B734" s="1" t="n">
        <v>44536</v>
      </c>
      <c r="C734" s="1" t="n">
        <v>45791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70485-2021</t>
        </is>
      </c>
      <c r="B735" s="1" t="n">
        <v>44536</v>
      </c>
      <c r="C735" s="1" t="n">
        <v>45791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70646-2021</t>
        </is>
      </c>
      <c r="B736" s="1" t="n">
        <v>44537</v>
      </c>
      <c r="C736" s="1" t="n">
        <v>45791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70676-2021</t>
        </is>
      </c>
      <c r="B737" s="1" t="n">
        <v>44537</v>
      </c>
      <c r="C737" s="1" t="n">
        <v>45791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70671-2021</t>
        </is>
      </c>
      <c r="B738" s="1" t="n">
        <v>44537</v>
      </c>
      <c r="C738" s="1" t="n">
        <v>45791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70675-2021</t>
        </is>
      </c>
      <c r="B739" s="1" t="n">
        <v>44537</v>
      </c>
      <c r="C739" s="1" t="n">
        <v>45791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70677-2021</t>
        </is>
      </c>
      <c r="B740" s="1" t="n">
        <v>44537</v>
      </c>
      <c r="C740" s="1" t="n">
        <v>45791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71846-2021</t>
        </is>
      </c>
      <c r="B741" s="1" t="n">
        <v>44543</v>
      </c>
      <c r="C741" s="1" t="n">
        <v>45791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71779-2021</t>
        </is>
      </c>
      <c r="B742" s="1" t="n">
        <v>44543</v>
      </c>
      <c r="C742" s="1" t="n">
        <v>45791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71874-2021</t>
        </is>
      </c>
      <c r="B743" s="1" t="n">
        <v>44543</v>
      </c>
      <c r="C743" s="1" t="n">
        <v>45791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72020-2021</t>
        </is>
      </c>
      <c r="B744" s="1" t="n">
        <v>44544</v>
      </c>
      <c r="C744" s="1" t="n">
        <v>45791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72429-2021</t>
        </is>
      </c>
      <c r="B745" s="1" t="n">
        <v>44545</v>
      </c>
      <c r="C745" s="1" t="n">
        <v>45791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72682-2021</t>
        </is>
      </c>
      <c r="B746" s="1" t="n">
        <v>44546</v>
      </c>
      <c r="C746" s="1" t="n">
        <v>45791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72857-2021</t>
        </is>
      </c>
      <c r="B747" s="1" t="n">
        <v>44547</v>
      </c>
      <c r="C747" s="1" t="n">
        <v>45791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73428-2021</t>
        </is>
      </c>
      <c r="B748" s="1" t="n">
        <v>44551</v>
      </c>
      <c r="C748" s="1" t="n">
        <v>45791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73647-2021</t>
        </is>
      </c>
      <c r="B749" s="1" t="n">
        <v>44552</v>
      </c>
      <c r="C749" s="1" t="n">
        <v>45791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73827-2021</t>
        </is>
      </c>
      <c r="B750" s="1" t="n">
        <v>44552</v>
      </c>
      <c r="C750" s="1" t="n">
        <v>45791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73876-2021</t>
        </is>
      </c>
      <c r="B751" s="1" t="n">
        <v>44553</v>
      </c>
      <c r="C751" s="1" t="n">
        <v>45791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74489-2021</t>
        </is>
      </c>
      <c r="B752" s="1" t="n">
        <v>44560</v>
      </c>
      <c r="C752" s="1" t="n">
        <v>45791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</v>
      </c>
      <c r="C753" s="1" t="n">
        <v>45791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924-2022</t>
        </is>
      </c>
      <c r="B754" s="1" t="n">
        <v>44571</v>
      </c>
      <c r="C754" s="1" t="n">
        <v>45791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1587-2022</t>
        </is>
      </c>
      <c r="B755" s="1" t="n">
        <v>44573</v>
      </c>
      <c r="C755" s="1" t="n">
        <v>45791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1580-2022</t>
        </is>
      </c>
      <c r="B756" s="1" t="n">
        <v>44573</v>
      </c>
      <c r="C756" s="1" t="n">
        <v>45791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1578-2022</t>
        </is>
      </c>
      <c r="B757" s="1" t="n">
        <v>44573</v>
      </c>
      <c r="C757" s="1" t="n">
        <v>45791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1797-2022</t>
        </is>
      </c>
      <c r="B758" s="1" t="n">
        <v>44574</v>
      </c>
      <c r="C758" s="1" t="n">
        <v>45791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2096-2022</t>
        </is>
      </c>
      <c r="B759" s="1" t="n">
        <v>44577</v>
      </c>
      <c r="C759" s="1" t="n">
        <v>45791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2212-2022</t>
        </is>
      </c>
      <c r="B760" s="1" t="n">
        <v>44578</v>
      </c>
      <c r="C760" s="1" t="n">
        <v>45791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2403-2022</t>
        </is>
      </c>
      <c r="B761" s="1" t="n">
        <v>44579</v>
      </c>
      <c r="C761" s="1" t="n">
        <v>45791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3435-2022</t>
        </is>
      </c>
      <c r="B762" s="1" t="n">
        <v>44585</v>
      </c>
      <c r="C762" s="1" t="n">
        <v>45791</v>
      </c>
      <c r="D762" t="inlineStr">
        <is>
          <t>KRONOBERGS LÄN</t>
        </is>
      </c>
      <c r="E762" t="inlineStr">
        <is>
          <t>VÄXJÖ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3450-2022</t>
        </is>
      </c>
      <c r="B763" s="1" t="n">
        <v>44585</v>
      </c>
      <c r="C763" s="1" t="n">
        <v>45791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4547-2022</t>
        </is>
      </c>
      <c r="B764" s="1" t="n">
        <v>44590</v>
      </c>
      <c r="C764" s="1" t="n">
        <v>45791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45791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4721-2022</t>
        </is>
      </c>
      <c r="B766" s="1" t="n">
        <v>44592</v>
      </c>
      <c r="C766" s="1" t="n">
        <v>45791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45791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5673-2022</t>
        </is>
      </c>
      <c r="B768" s="1" t="n">
        <v>44596</v>
      </c>
      <c r="C768" s="1" t="n">
        <v>45791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5869-2022</t>
        </is>
      </c>
      <c r="B769" s="1" t="n">
        <v>44596</v>
      </c>
      <c r="C769" s="1" t="n">
        <v>45791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6052-2022</t>
        </is>
      </c>
      <c r="B770" s="1" t="n">
        <v>44599</v>
      </c>
      <c r="C770" s="1" t="n">
        <v>45791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</v>
      </c>
      <c r="C771" s="1" t="n">
        <v>45791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6051-2022</t>
        </is>
      </c>
      <c r="B772" s="1" t="n">
        <v>44599</v>
      </c>
      <c r="C772" s="1" t="n">
        <v>45791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6133-2022</t>
        </is>
      </c>
      <c r="B773" s="1" t="n">
        <v>44599</v>
      </c>
      <c r="C773" s="1" t="n">
        <v>45791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6132-2022</t>
        </is>
      </c>
      <c r="B774" s="1" t="n">
        <v>44599</v>
      </c>
      <c r="C774" s="1" t="n">
        <v>45791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6131-2022</t>
        </is>
      </c>
      <c r="B775" s="1" t="n">
        <v>44599</v>
      </c>
      <c r="C775" s="1" t="n">
        <v>45791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6183-2022</t>
        </is>
      </c>
      <c r="B776" s="1" t="n">
        <v>44600</v>
      </c>
      <c r="C776" s="1" t="n">
        <v>45791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6564-2022</t>
        </is>
      </c>
      <c r="B777" s="1" t="n">
        <v>44601</v>
      </c>
      <c r="C777" s="1" t="n">
        <v>45791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6809-2022</t>
        </is>
      </c>
      <c r="B778" s="1" t="n">
        <v>44602</v>
      </c>
      <c r="C778" s="1" t="n">
        <v>45791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7219-2022</t>
        </is>
      </c>
      <c r="B779" s="1" t="n">
        <v>44603</v>
      </c>
      <c r="C779" s="1" t="n">
        <v>45791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7245-2022</t>
        </is>
      </c>
      <c r="B780" s="1" t="n">
        <v>44606</v>
      </c>
      <c r="C780" s="1" t="n">
        <v>45791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7549-2022</t>
        </is>
      </c>
      <c r="B781" s="1" t="n">
        <v>44607</v>
      </c>
      <c r="C781" s="1" t="n">
        <v>45791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7553-2022</t>
        </is>
      </c>
      <c r="B782" s="1" t="n">
        <v>44607</v>
      </c>
      <c r="C782" s="1" t="n">
        <v>45791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8038-2022</t>
        </is>
      </c>
      <c r="B783" s="1" t="n">
        <v>44609</v>
      </c>
      <c r="C783" s="1" t="n">
        <v>45791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8037-2022</t>
        </is>
      </c>
      <c r="B784" s="1" t="n">
        <v>44609</v>
      </c>
      <c r="C784" s="1" t="n">
        <v>45791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8324-2022</t>
        </is>
      </c>
      <c r="B785" s="1" t="n">
        <v>44610</v>
      </c>
      <c r="C785" s="1" t="n">
        <v>45791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8312-2022</t>
        </is>
      </c>
      <c r="B786" s="1" t="n">
        <v>44610</v>
      </c>
      <c r="C786" s="1" t="n">
        <v>45791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</v>
      </c>
      <c r="C787" s="1" t="n">
        <v>45791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9566-2022</t>
        </is>
      </c>
      <c r="B788" s="1" t="n">
        <v>44617</v>
      </c>
      <c r="C788" s="1" t="n">
        <v>45791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9680-2022</t>
        </is>
      </c>
      <c r="B789" s="1" t="n">
        <v>44617</v>
      </c>
      <c r="C789" s="1" t="n">
        <v>45791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45791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11871-2022</t>
        </is>
      </c>
      <c r="B791" s="1" t="n">
        <v>44635</v>
      </c>
      <c r="C791" s="1" t="n">
        <v>45791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11888-2022</t>
        </is>
      </c>
      <c r="B792" s="1" t="n">
        <v>44635</v>
      </c>
      <c r="C792" s="1" t="n">
        <v>45791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12093-2022</t>
        </is>
      </c>
      <c r="B793" s="1" t="n">
        <v>44636</v>
      </c>
      <c r="C793" s="1" t="n">
        <v>45791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45791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13033-2022</t>
        </is>
      </c>
      <c r="B795" s="1" t="n">
        <v>44643</v>
      </c>
      <c r="C795" s="1" t="n">
        <v>45791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13379-2022</t>
        </is>
      </c>
      <c r="B796" s="1" t="n">
        <v>44645</v>
      </c>
      <c r="C796" s="1" t="n">
        <v>45791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13426-2022</t>
        </is>
      </c>
      <c r="B797" s="1" t="n">
        <v>44645</v>
      </c>
      <c r="C797" s="1" t="n">
        <v>45791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14073-2022</t>
        </is>
      </c>
      <c r="B798" s="1" t="n">
        <v>44650</v>
      </c>
      <c r="C798" s="1" t="n">
        <v>45791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14247-2022</t>
        </is>
      </c>
      <c r="B799" s="1" t="n">
        <v>44651</v>
      </c>
      <c r="C799" s="1" t="n">
        <v>45791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14172-2022</t>
        </is>
      </c>
      <c r="B800" s="1" t="n">
        <v>44651</v>
      </c>
      <c r="C800" s="1" t="n">
        <v>45791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14263-2022</t>
        </is>
      </c>
      <c r="B801" s="1" t="n">
        <v>44651</v>
      </c>
      <c r="C801" s="1" t="n">
        <v>45791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14380-2022</t>
        </is>
      </c>
      <c r="B802" s="1" t="n">
        <v>44652</v>
      </c>
      <c r="C802" s="1" t="n">
        <v>45791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14853-2022</t>
        </is>
      </c>
      <c r="B803" s="1" t="n">
        <v>44656</v>
      </c>
      <c r="C803" s="1" t="n">
        <v>45791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14893-2022</t>
        </is>
      </c>
      <c r="B804" s="1" t="n">
        <v>44657</v>
      </c>
      <c r="C804" s="1" t="n">
        <v>45791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14883-2022</t>
        </is>
      </c>
      <c r="B805" s="1" t="n">
        <v>44656</v>
      </c>
      <c r="C805" s="1" t="n">
        <v>45791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15340-2022</t>
        </is>
      </c>
      <c r="B806" s="1" t="n">
        <v>44659</v>
      </c>
      <c r="C806" s="1" t="n">
        <v>45791</v>
      </c>
      <c r="D806" t="inlineStr">
        <is>
          <t>KRONOBERGS LÄN</t>
        </is>
      </c>
      <c r="E806" t="inlineStr">
        <is>
          <t>VÄXJÖ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45791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16462-2022</t>
        </is>
      </c>
      <c r="B808" s="1" t="n">
        <v>44671</v>
      </c>
      <c r="C808" s="1" t="n">
        <v>45791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16947-2022</t>
        </is>
      </c>
      <c r="B809" s="1" t="n">
        <v>44676</v>
      </c>
      <c r="C809" s="1" t="n">
        <v>45791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16944-2022</t>
        </is>
      </c>
      <c r="B810" s="1" t="n">
        <v>44676</v>
      </c>
      <c r="C810" s="1" t="n">
        <v>45791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16948-2022</t>
        </is>
      </c>
      <c r="B811" s="1" t="n">
        <v>44676</v>
      </c>
      <c r="C811" s="1" t="n">
        <v>45791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16945-2022</t>
        </is>
      </c>
      <c r="B812" s="1" t="n">
        <v>44676</v>
      </c>
      <c r="C812" s="1" t="n">
        <v>45791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16949-2022</t>
        </is>
      </c>
      <c r="B813" s="1" t="n">
        <v>44676</v>
      </c>
      <c r="C813" s="1" t="n">
        <v>45791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16917-2022</t>
        </is>
      </c>
      <c r="B814" s="1" t="n">
        <v>44676</v>
      </c>
      <c r="C814" s="1" t="n">
        <v>45791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16946-2022</t>
        </is>
      </c>
      <c r="B815" s="1" t="n">
        <v>44676</v>
      </c>
      <c r="C815" s="1" t="n">
        <v>45791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17095-2022</t>
        </is>
      </c>
      <c r="B816" s="1" t="n">
        <v>44677</v>
      </c>
      <c r="C816" s="1" t="n">
        <v>45791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17283-2022</t>
        </is>
      </c>
      <c r="B817" s="1" t="n">
        <v>44678</v>
      </c>
      <c r="C817" s="1" t="n">
        <v>45791</v>
      </c>
      <c r="D817" t="inlineStr">
        <is>
          <t>KRONOBERGS LÄN</t>
        </is>
      </c>
      <c r="E817" t="inlineStr">
        <is>
          <t>VÄXJÖ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17511-2022</t>
        </is>
      </c>
      <c r="B818" s="1" t="n">
        <v>44679</v>
      </c>
      <c r="C818" s="1" t="n">
        <v>45791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18427-2022</t>
        </is>
      </c>
      <c r="B819" s="1" t="n">
        <v>44686</v>
      </c>
      <c r="C819" s="1" t="n">
        <v>45791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18694-2022</t>
        </is>
      </c>
      <c r="B820" s="1" t="n">
        <v>44687</v>
      </c>
      <c r="C820" s="1" t="n">
        <v>45791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18822-2022</t>
        </is>
      </c>
      <c r="B821" s="1" t="n">
        <v>44690</v>
      </c>
      <c r="C821" s="1" t="n">
        <v>45791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18816-2022</t>
        </is>
      </c>
      <c r="B822" s="1" t="n">
        <v>44690</v>
      </c>
      <c r="C822" s="1" t="n">
        <v>45791</v>
      </c>
      <c r="D822" t="inlineStr">
        <is>
          <t>KRONOBERGS LÄN</t>
        </is>
      </c>
      <c r="E822" t="inlineStr">
        <is>
          <t>VÄXJÖ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</v>
      </c>
      <c r="C823" s="1" t="n">
        <v>45791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19096-2022</t>
        </is>
      </c>
      <c r="B824" s="1" t="n">
        <v>44691</v>
      </c>
      <c r="C824" s="1" t="n">
        <v>45791</v>
      </c>
      <c r="D824" t="inlineStr">
        <is>
          <t>KRONOBERGS LÄN</t>
        </is>
      </c>
      <c r="E824" t="inlineStr">
        <is>
          <t>VÄXJÖ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19072-2022</t>
        </is>
      </c>
      <c r="B825" s="1" t="n">
        <v>44691</v>
      </c>
      <c r="C825" s="1" t="n">
        <v>45791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19472-2022</t>
        </is>
      </c>
      <c r="B826" s="1" t="n">
        <v>44693</v>
      </c>
      <c r="C826" s="1" t="n">
        <v>45791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20252-2022</t>
        </is>
      </c>
      <c r="B827" s="1" t="n">
        <v>44698</v>
      </c>
      <c r="C827" s="1" t="n">
        <v>45791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21014-2022</t>
        </is>
      </c>
      <c r="B828" s="1" t="n">
        <v>44704</v>
      </c>
      <c r="C828" s="1" t="n">
        <v>45791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21042-2022</t>
        </is>
      </c>
      <c r="B829" s="1" t="n">
        <v>44704</v>
      </c>
      <c r="C829" s="1" t="n">
        <v>45791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21266-2022</t>
        </is>
      </c>
      <c r="B830" s="1" t="n">
        <v>44705</v>
      </c>
      <c r="C830" s="1" t="n">
        <v>45791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21271-2022</t>
        </is>
      </c>
      <c r="B831" s="1" t="n">
        <v>44705</v>
      </c>
      <c r="C831" s="1" t="n">
        <v>45791</v>
      </c>
      <c r="D831" t="inlineStr">
        <is>
          <t>KRONOBERGS LÄN</t>
        </is>
      </c>
      <c r="E831" t="inlineStr">
        <is>
          <t>VÄXJÖ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</v>
      </c>
      <c r="C832" s="1" t="n">
        <v>45791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21872-2022</t>
        </is>
      </c>
      <c r="B833" s="1" t="n">
        <v>44711</v>
      </c>
      <c r="C833" s="1" t="n">
        <v>45791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21932-2022</t>
        </is>
      </c>
      <c r="B834" s="1" t="n">
        <v>44711</v>
      </c>
      <c r="C834" s="1" t="n">
        <v>45791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21960-2022</t>
        </is>
      </c>
      <c r="B835" s="1" t="n">
        <v>44711</v>
      </c>
      <c r="C835" s="1" t="n">
        <v>45791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22058-2022</t>
        </is>
      </c>
      <c r="B836" s="1" t="n">
        <v>44711</v>
      </c>
      <c r="C836" s="1" t="n">
        <v>45791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22296-2022</t>
        </is>
      </c>
      <c r="B837" s="1" t="n">
        <v>44712</v>
      </c>
      <c r="C837" s="1" t="n">
        <v>45791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22441-2022</t>
        </is>
      </c>
      <c r="B838" s="1" t="n">
        <v>44713</v>
      </c>
      <c r="C838" s="1" t="n">
        <v>45791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23510-2022</t>
        </is>
      </c>
      <c r="B839" s="1" t="n">
        <v>44721</v>
      </c>
      <c r="C839" s="1" t="n">
        <v>45791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24448-2022</t>
        </is>
      </c>
      <c r="B840" s="1" t="n">
        <v>44726</v>
      </c>
      <c r="C840" s="1" t="n">
        <v>45791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25569-2022</t>
        </is>
      </c>
      <c r="B841" s="1" t="n">
        <v>44732</v>
      </c>
      <c r="C841" s="1" t="n">
        <v>45791</v>
      </c>
      <c r="D841" t="inlineStr">
        <is>
          <t>KRONOBERGS LÄN</t>
        </is>
      </c>
      <c r="E841" t="inlineStr">
        <is>
          <t>VÄXJÖ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26174-2022</t>
        </is>
      </c>
      <c r="B842" s="1" t="n">
        <v>44735</v>
      </c>
      <c r="C842" s="1" t="n">
        <v>45791</v>
      </c>
      <c r="D842" t="inlineStr">
        <is>
          <t>KRONOBERGS LÄN</t>
        </is>
      </c>
      <c r="E842" t="inlineStr">
        <is>
          <t>VÄXJÖ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26645-2022</t>
        </is>
      </c>
      <c r="B843" s="1" t="n">
        <v>44739</v>
      </c>
      <c r="C843" s="1" t="n">
        <v>45791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26505-2022</t>
        </is>
      </c>
      <c r="B844" s="1" t="n">
        <v>44739</v>
      </c>
      <c r="C844" s="1" t="n">
        <v>45791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26965-2022</t>
        </is>
      </c>
      <c r="B845" s="1" t="n">
        <v>44740</v>
      </c>
      <c r="C845" s="1" t="n">
        <v>45791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45791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27096-2022</t>
        </is>
      </c>
      <c r="B847" s="1" t="n">
        <v>44741</v>
      </c>
      <c r="C847" s="1" t="n">
        <v>45791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27087-2022</t>
        </is>
      </c>
      <c r="B848" s="1" t="n">
        <v>44741</v>
      </c>
      <c r="C848" s="1" t="n">
        <v>45791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45791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27158-2022</t>
        </is>
      </c>
      <c r="B850" s="1" t="n">
        <v>44741</v>
      </c>
      <c r="C850" s="1" t="n">
        <v>45791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27675-2022</t>
        </is>
      </c>
      <c r="B851" s="1" t="n">
        <v>44743</v>
      </c>
      <c r="C851" s="1" t="n">
        <v>45791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28080-2022</t>
        </is>
      </c>
      <c r="B852" s="1" t="n">
        <v>44746</v>
      </c>
      <c r="C852" s="1" t="n">
        <v>45791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28084-2022</t>
        </is>
      </c>
      <c r="B853" s="1" t="n">
        <v>44746</v>
      </c>
      <c r="C853" s="1" t="n">
        <v>45791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28096-2022</t>
        </is>
      </c>
      <c r="B854" s="1" t="n">
        <v>44746</v>
      </c>
      <c r="C854" s="1" t="n">
        <v>45791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28502-2022</t>
        </is>
      </c>
      <c r="B855" s="1" t="n">
        <v>44747</v>
      </c>
      <c r="C855" s="1" t="n">
        <v>45791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28950-2022</t>
        </is>
      </c>
      <c r="B856" s="1" t="n">
        <v>44749</v>
      </c>
      <c r="C856" s="1" t="n">
        <v>45791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28957-2022</t>
        </is>
      </c>
      <c r="B857" s="1" t="n">
        <v>44749</v>
      </c>
      <c r="C857" s="1" t="n">
        <v>45791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28801-2022</t>
        </is>
      </c>
      <c r="B858" s="1" t="n">
        <v>44749</v>
      </c>
      <c r="C858" s="1" t="n">
        <v>45791</v>
      </c>
      <c r="D858" t="inlineStr">
        <is>
          <t>KRONOBERGS LÄN</t>
        </is>
      </c>
      <c r="E858" t="inlineStr">
        <is>
          <t>VÄXJÖ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28954-2022</t>
        </is>
      </c>
      <c r="B859" s="1" t="n">
        <v>44749</v>
      </c>
      <c r="C859" s="1" t="n">
        <v>45791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45791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30407-2022</t>
        </is>
      </c>
      <c r="B861" s="1" t="n">
        <v>44760</v>
      </c>
      <c r="C861" s="1" t="n">
        <v>45791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45791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30741-2022</t>
        </is>
      </c>
      <c r="B863" s="1" t="n">
        <v>44764</v>
      </c>
      <c r="C863" s="1" t="n">
        <v>45791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30757-2022</t>
        </is>
      </c>
      <c r="B864" s="1" t="n">
        <v>44764</v>
      </c>
      <c r="C864" s="1" t="n">
        <v>45791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30755-2022</t>
        </is>
      </c>
      <c r="B865" s="1" t="n">
        <v>44764</v>
      </c>
      <c r="C865" s="1" t="n">
        <v>45791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31086-2022</t>
        </is>
      </c>
      <c r="B866" s="1" t="n">
        <v>44769</v>
      </c>
      <c r="C866" s="1" t="n">
        <v>45791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31085-2022</t>
        </is>
      </c>
      <c r="B867" s="1" t="n">
        <v>44769</v>
      </c>
      <c r="C867" s="1" t="n">
        <v>45791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31099-2022</t>
        </is>
      </c>
      <c r="B868" s="1" t="n">
        <v>44769</v>
      </c>
      <c r="C868" s="1" t="n">
        <v>45791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31091-2022</t>
        </is>
      </c>
      <c r="B869" s="1" t="n">
        <v>44769</v>
      </c>
      <c r="C869" s="1" t="n">
        <v>45791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31098-2022</t>
        </is>
      </c>
      <c r="B870" s="1" t="n">
        <v>44769</v>
      </c>
      <c r="C870" s="1" t="n">
        <v>45791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31118-2022</t>
        </is>
      </c>
      <c r="B871" s="1" t="n">
        <v>44769</v>
      </c>
      <c r="C871" s="1" t="n">
        <v>45791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31090-2022</t>
        </is>
      </c>
      <c r="B872" s="1" t="n">
        <v>44769</v>
      </c>
      <c r="C872" s="1" t="n">
        <v>45791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31116-2022</t>
        </is>
      </c>
      <c r="B873" s="1" t="n">
        <v>44769</v>
      </c>
      <c r="C873" s="1" t="n">
        <v>45791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31119-2022</t>
        </is>
      </c>
      <c r="B874" s="1" t="n">
        <v>44769</v>
      </c>
      <c r="C874" s="1" t="n">
        <v>45791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31343-2022</t>
        </is>
      </c>
      <c r="B875" s="1" t="n">
        <v>44774</v>
      </c>
      <c r="C875" s="1" t="n">
        <v>45791</v>
      </c>
      <c r="D875" t="inlineStr">
        <is>
          <t>KRONOBERGS LÄN</t>
        </is>
      </c>
      <c r="E875" t="inlineStr">
        <is>
          <t>VÄXJÖ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31360-2022</t>
        </is>
      </c>
      <c r="B876" s="1" t="n">
        <v>44774</v>
      </c>
      <c r="C876" s="1" t="n">
        <v>45791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31586-2022</t>
        </is>
      </c>
      <c r="B877" s="1" t="n">
        <v>44775</v>
      </c>
      <c r="C877" s="1" t="n">
        <v>45791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31730-2022</t>
        </is>
      </c>
      <c r="B878" s="1" t="n">
        <v>44776</v>
      </c>
      <c r="C878" s="1" t="n">
        <v>45791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32222-2022</t>
        </is>
      </c>
      <c r="B879" s="1" t="n">
        <v>44781</v>
      </c>
      <c r="C879" s="1" t="n">
        <v>45791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32246-2022</t>
        </is>
      </c>
      <c r="B880" s="1" t="n">
        <v>44781</v>
      </c>
      <c r="C880" s="1" t="n">
        <v>45791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32466-2022</t>
        </is>
      </c>
      <c r="B881" s="1" t="n">
        <v>44782</v>
      </c>
      <c r="C881" s="1" t="n">
        <v>45791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34475-2022</t>
        </is>
      </c>
      <c r="B882" s="1" t="n">
        <v>44792</v>
      </c>
      <c r="C882" s="1" t="n">
        <v>45791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34854-2022</t>
        </is>
      </c>
      <c r="B883" s="1" t="n">
        <v>44796</v>
      </c>
      <c r="C883" s="1" t="n">
        <v>45791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35913-2022</t>
        </is>
      </c>
      <c r="B884" s="1" t="n">
        <v>44802</v>
      </c>
      <c r="C884" s="1" t="n">
        <v>45791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35837-2022</t>
        </is>
      </c>
      <c r="B885" s="1" t="n">
        <v>44802</v>
      </c>
      <c r="C885" s="1" t="n">
        <v>45791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36030-2022</t>
        </is>
      </c>
      <c r="B886" s="1" t="n">
        <v>44802</v>
      </c>
      <c r="C886" s="1" t="n">
        <v>45791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36334-2022</t>
        </is>
      </c>
      <c r="B887" s="1" t="n">
        <v>44803</v>
      </c>
      <c r="C887" s="1" t="n">
        <v>45791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37924-2022</t>
        </is>
      </c>
      <c r="B888" s="1" t="n">
        <v>44811</v>
      </c>
      <c r="C888" s="1" t="n">
        <v>45791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38172-2022</t>
        </is>
      </c>
      <c r="B889" s="1" t="n">
        <v>44812</v>
      </c>
      <c r="C889" s="1" t="n">
        <v>45791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38390-2022</t>
        </is>
      </c>
      <c r="B890" s="1" t="n">
        <v>44812</v>
      </c>
      <c r="C890" s="1" t="n">
        <v>45791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38397-2022</t>
        </is>
      </c>
      <c r="B891" s="1" t="n">
        <v>44812</v>
      </c>
      <c r="C891" s="1" t="n">
        <v>45791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38395-2022</t>
        </is>
      </c>
      <c r="B892" s="1" t="n">
        <v>44812</v>
      </c>
      <c r="C892" s="1" t="n">
        <v>45791</v>
      </c>
      <c r="D892" t="inlineStr">
        <is>
          <t>KRONOBERGS LÄN</t>
        </is>
      </c>
      <c r="E892" t="inlineStr">
        <is>
          <t>VÄXJÖ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38688-2022</t>
        </is>
      </c>
      <c r="B893" s="1" t="n">
        <v>44814</v>
      </c>
      <c r="C893" s="1" t="n">
        <v>45791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38692-2022</t>
        </is>
      </c>
      <c r="B894" s="1" t="n">
        <v>44814</v>
      </c>
      <c r="C894" s="1" t="n">
        <v>45791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38687-2022</t>
        </is>
      </c>
      <c r="B895" s="1" t="n">
        <v>44814</v>
      </c>
      <c r="C895" s="1" t="n">
        <v>45791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38691-2022</t>
        </is>
      </c>
      <c r="B896" s="1" t="n">
        <v>44814</v>
      </c>
      <c r="C896" s="1" t="n">
        <v>45791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38689-2022</t>
        </is>
      </c>
      <c r="B897" s="1" t="n">
        <v>44814</v>
      </c>
      <c r="C897" s="1" t="n">
        <v>45791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38690-2022</t>
        </is>
      </c>
      <c r="B898" s="1" t="n">
        <v>44814</v>
      </c>
      <c r="C898" s="1" t="n">
        <v>45791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38840-2022</t>
        </is>
      </c>
      <c r="B899" s="1" t="n">
        <v>44816</v>
      </c>
      <c r="C899" s="1" t="n">
        <v>45791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40017-2022</t>
        </is>
      </c>
      <c r="B900" s="1" t="n">
        <v>44820</v>
      </c>
      <c r="C900" s="1" t="n">
        <v>45791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40019-2022</t>
        </is>
      </c>
      <c r="B901" s="1" t="n">
        <v>44820</v>
      </c>
      <c r="C901" s="1" t="n">
        <v>45791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40015-2022</t>
        </is>
      </c>
      <c r="B902" s="1" t="n">
        <v>44820</v>
      </c>
      <c r="C902" s="1" t="n">
        <v>45791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40697-2022</t>
        </is>
      </c>
      <c r="B903" s="1" t="n">
        <v>44820</v>
      </c>
      <c r="C903" s="1" t="n">
        <v>45791</v>
      </c>
      <c r="D903" t="inlineStr">
        <is>
          <t>KRONOBERGS LÄN</t>
        </is>
      </c>
      <c r="E903" t="inlineStr">
        <is>
          <t>VÄXJÖ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40642-2022</t>
        </is>
      </c>
      <c r="B904" s="1" t="n">
        <v>44824</v>
      </c>
      <c r="C904" s="1" t="n">
        <v>45791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42238-2022</t>
        </is>
      </c>
      <c r="B905" s="1" t="n">
        <v>44830</v>
      </c>
      <c r="C905" s="1" t="n">
        <v>45791</v>
      </c>
      <c r="D905" t="inlineStr">
        <is>
          <t>KRONOBERGS LÄN</t>
        </is>
      </c>
      <c r="E905" t="inlineStr">
        <is>
          <t>VÄXJÖ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42361-2022</t>
        </is>
      </c>
      <c r="B906" s="1" t="n">
        <v>44831</v>
      </c>
      <c r="C906" s="1" t="n">
        <v>45791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</v>
      </c>
      <c r="C907" s="1" t="n">
        <v>45791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44118-2022</t>
        </is>
      </c>
      <c r="B908" s="1" t="n">
        <v>44839</v>
      </c>
      <c r="C908" s="1" t="n">
        <v>45791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45100-2022</t>
        </is>
      </c>
      <c r="B909" s="1" t="n">
        <v>44843</v>
      </c>
      <c r="C909" s="1" t="n">
        <v>45791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45791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45763-2022</t>
        </is>
      </c>
      <c r="B911" s="1" t="n">
        <v>44846</v>
      </c>
      <c r="C911" s="1" t="n">
        <v>45791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47674-2022</t>
        </is>
      </c>
      <c r="B912" s="1" t="n">
        <v>44854</v>
      </c>
      <c r="C912" s="1" t="n">
        <v>45791</v>
      </c>
      <c r="D912" t="inlineStr">
        <is>
          <t>KRONOBERGS LÄN</t>
        </is>
      </c>
      <c r="E912" t="inlineStr">
        <is>
          <t>VÄXJÖ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48264-2022</t>
        </is>
      </c>
      <c r="B913" s="1" t="n">
        <v>44858</v>
      </c>
      <c r="C913" s="1" t="n">
        <v>45791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48268-2022</t>
        </is>
      </c>
      <c r="B914" s="1" t="n">
        <v>44858</v>
      </c>
      <c r="C914" s="1" t="n">
        <v>45791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48236-2022</t>
        </is>
      </c>
      <c r="B915" s="1" t="n">
        <v>44858</v>
      </c>
      <c r="C915" s="1" t="n">
        <v>45791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49037-2022</t>
        </is>
      </c>
      <c r="B916" s="1" t="n">
        <v>44860</v>
      </c>
      <c r="C916" s="1" t="n">
        <v>45791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50503-2022</t>
        </is>
      </c>
      <c r="B917" s="1" t="n">
        <v>44866</v>
      </c>
      <c r="C917" s="1" t="n">
        <v>45791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50906-2022</t>
        </is>
      </c>
      <c r="B918" s="1" t="n">
        <v>44867</v>
      </c>
      <c r="C918" s="1" t="n">
        <v>45791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50921-2022</t>
        </is>
      </c>
      <c r="B919" s="1" t="n">
        <v>44867</v>
      </c>
      <c r="C919" s="1" t="n">
        <v>45791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50919-2022</t>
        </is>
      </c>
      <c r="B920" s="1" t="n">
        <v>44867</v>
      </c>
      <c r="C920" s="1" t="n">
        <v>45791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51472-2022</t>
        </is>
      </c>
      <c r="B921" s="1" t="n">
        <v>44869</v>
      </c>
      <c r="C921" s="1" t="n">
        <v>45791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52823-2022</t>
        </is>
      </c>
      <c r="B922" s="1" t="n">
        <v>44872</v>
      </c>
      <c r="C922" s="1" t="n">
        <v>45791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52833-2022</t>
        </is>
      </c>
      <c r="B923" s="1" t="n">
        <v>44872</v>
      </c>
      <c r="C923" s="1" t="n">
        <v>45791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52519-2022</t>
        </is>
      </c>
      <c r="B924" s="1" t="n">
        <v>44874</v>
      </c>
      <c r="C924" s="1" t="n">
        <v>45791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52545-2022</t>
        </is>
      </c>
      <c r="B925" s="1" t="n">
        <v>44874</v>
      </c>
      <c r="C925" s="1" t="n">
        <v>45791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</v>
      </c>
      <c r="C926" s="1" t="n">
        <v>45791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53251-2022</t>
        </is>
      </c>
      <c r="B927" s="1" t="n">
        <v>44876</v>
      </c>
      <c r="C927" s="1" t="n">
        <v>45791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</v>
      </c>
      <c r="C928" s="1" t="n">
        <v>45791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53685-2022</t>
        </is>
      </c>
      <c r="B929" s="1" t="n">
        <v>44880</v>
      </c>
      <c r="C929" s="1" t="n">
        <v>45791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53683-2022</t>
        </is>
      </c>
      <c r="B930" s="1" t="n">
        <v>44880</v>
      </c>
      <c r="C930" s="1" t="n">
        <v>45791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55097-2022</t>
        </is>
      </c>
      <c r="B931" s="1" t="n">
        <v>44886</v>
      </c>
      <c r="C931" s="1" t="n">
        <v>45791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56859-2022</t>
        </is>
      </c>
      <c r="B932" s="1" t="n">
        <v>44894</v>
      </c>
      <c r="C932" s="1" t="n">
        <v>45791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45791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56788-2022</t>
        </is>
      </c>
      <c r="B934" s="1" t="n">
        <v>44894</v>
      </c>
      <c r="C934" s="1" t="n">
        <v>45791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56863-2022</t>
        </is>
      </c>
      <c r="B935" s="1" t="n">
        <v>44894</v>
      </c>
      <c r="C935" s="1" t="n">
        <v>45791</v>
      </c>
      <c r="D935" t="inlineStr">
        <is>
          <t>KRONOBERGS LÄN</t>
        </is>
      </c>
      <c r="E935" t="inlineStr">
        <is>
          <t>VÄXJÖ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56821-2022</t>
        </is>
      </c>
      <c r="B936" s="1" t="n">
        <v>44894</v>
      </c>
      <c r="C936" s="1" t="n">
        <v>45791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56864-2022</t>
        </is>
      </c>
      <c r="B937" s="1" t="n">
        <v>44894</v>
      </c>
      <c r="C937" s="1" t="n">
        <v>45791</v>
      </c>
      <c r="D937" t="inlineStr">
        <is>
          <t>KRONOBERGS LÄN</t>
        </is>
      </c>
      <c r="E937" t="inlineStr">
        <is>
          <t>VÄXJÖ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58475-2022</t>
        </is>
      </c>
      <c r="B938" s="1" t="n">
        <v>44894</v>
      </c>
      <c r="C938" s="1" t="n">
        <v>45791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57374-2022</t>
        </is>
      </c>
      <c r="B939" s="1" t="n">
        <v>44896</v>
      </c>
      <c r="C939" s="1" t="n">
        <v>45791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57367-2022</t>
        </is>
      </c>
      <c r="B940" s="1" t="n">
        <v>44896</v>
      </c>
      <c r="C940" s="1" t="n">
        <v>45791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45791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57606-2022</t>
        </is>
      </c>
      <c r="B942" s="1" t="n">
        <v>44897</v>
      </c>
      <c r="C942" s="1" t="n">
        <v>45791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59134-2022</t>
        </is>
      </c>
      <c r="B943" s="1" t="n">
        <v>44897</v>
      </c>
      <c r="C943" s="1" t="n">
        <v>45791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57932-2022</t>
        </is>
      </c>
      <c r="B944" s="1" t="n">
        <v>44900</v>
      </c>
      <c r="C944" s="1" t="n">
        <v>45791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58020-2022</t>
        </is>
      </c>
      <c r="B945" s="1" t="n">
        <v>44900</v>
      </c>
      <c r="C945" s="1" t="n">
        <v>45791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58045-2022</t>
        </is>
      </c>
      <c r="B946" s="1" t="n">
        <v>44900</v>
      </c>
      <c r="C946" s="1" t="n">
        <v>45791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58968-2022</t>
        </is>
      </c>
      <c r="B947" s="1" t="n">
        <v>44903</v>
      </c>
      <c r="C947" s="1" t="n">
        <v>45791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60204-2022</t>
        </is>
      </c>
      <c r="B948" s="1" t="n">
        <v>44903</v>
      </c>
      <c r="C948" s="1" t="n">
        <v>45791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60203-2022</t>
        </is>
      </c>
      <c r="B949" s="1" t="n">
        <v>44903</v>
      </c>
      <c r="C949" s="1" t="n">
        <v>45791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59066-2022</t>
        </is>
      </c>
      <c r="B950" s="1" t="n">
        <v>44904</v>
      </c>
      <c r="C950" s="1" t="n">
        <v>45791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59065-2022</t>
        </is>
      </c>
      <c r="B951" s="1" t="n">
        <v>44904</v>
      </c>
      <c r="C951" s="1" t="n">
        <v>45791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59867-2022</t>
        </is>
      </c>
      <c r="B952" s="1" t="n">
        <v>44908</v>
      </c>
      <c r="C952" s="1" t="n">
        <v>45791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60119-2022</t>
        </is>
      </c>
      <c r="B953" s="1" t="n">
        <v>44909</v>
      </c>
      <c r="C953" s="1" t="n">
        <v>45791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</v>
      </c>
      <c r="C954" s="1" t="n">
        <v>45791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</v>
      </c>
      <c r="C955" s="1" t="n">
        <v>45791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61354-2022</t>
        </is>
      </c>
      <c r="B956" s="1" t="n">
        <v>44915</v>
      </c>
      <c r="C956" s="1" t="n">
        <v>45791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61359-2022</t>
        </is>
      </c>
      <c r="B957" s="1" t="n">
        <v>44915</v>
      </c>
      <c r="C957" s="1" t="n">
        <v>45791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62191-2022</t>
        </is>
      </c>
      <c r="B958" s="1" t="n">
        <v>44922</v>
      </c>
      <c r="C958" s="1" t="n">
        <v>45791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62237-2022</t>
        </is>
      </c>
      <c r="B959" s="1" t="n">
        <v>44922</v>
      </c>
      <c r="C959" s="1" t="n">
        <v>45791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62245-2022</t>
        </is>
      </c>
      <c r="B960" s="1" t="n">
        <v>44922</v>
      </c>
      <c r="C960" s="1" t="n">
        <v>45791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62553-2022</t>
        </is>
      </c>
      <c r="B961" s="1" t="n">
        <v>44924</v>
      </c>
      <c r="C961" s="1" t="n">
        <v>45791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188-2023</t>
        </is>
      </c>
      <c r="B962" s="1" t="n">
        <v>44928</v>
      </c>
      <c r="C962" s="1" t="n">
        <v>45791</v>
      </c>
      <c r="D962" t="inlineStr">
        <is>
          <t>KRONOBERGS LÄN</t>
        </is>
      </c>
      <c r="E962" t="inlineStr">
        <is>
          <t>VÄXJÖ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1096-2023</t>
        </is>
      </c>
      <c r="B963" s="1" t="n">
        <v>44929</v>
      </c>
      <c r="C963" s="1" t="n">
        <v>45791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889-2023</t>
        </is>
      </c>
      <c r="B964" s="1" t="n">
        <v>44931</v>
      </c>
      <c r="C964" s="1" t="n">
        <v>45791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1581-2023</t>
        </is>
      </c>
      <c r="B965" s="1" t="n">
        <v>44937</v>
      </c>
      <c r="C965" s="1" t="n">
        <v>45791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1795-2023</t>
        </is>
      </c>
      <c r="B966" s="1" t="n">
        <v>44938</v>
      </c>
      <c r="C966" s="1" t="n">
        <v>45791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1813-2023</t>
        </is>
      </c>
      <c r="B967" s="1" t="n">
        <v>44938</v>
      </c>
      <c r="C967" s="1" t="n">
        <v>45791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2138-2023</t>
        </is>
      </c>
      <c r="B968" s="1" t="n">
        <v>44940</v>
      </c>
      <c r="C968" s="1" t="n">
        <v>45791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2137-2023</t>
        </is>
      </c>
      <c r="B969" s="1" t="n">
        <v>44940</v>
      </c>
      <c r="C969" s="1" t="n">
        <v>45791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2366-2023</t>
        </is>
      </c>
      <c r="B970" s="1" t="n">
        <v>44942</v>
      </c>
      <c r="C970" s="1" t="n">
        <v>45791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2606-2023</t>
        </is>
      </c>
      <c r="B971" s="1" t="n">
        <v>44942</v>
      </c>
      <c r="C971" s="1" t="n">
        <v>45791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2619-2023</t>
        </is>
      </c>
      <c r="B972" s="1" t="n">
        <v>44942</v>
      </c>
      <c r="C972" s="1" t="n">
        <v>45791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3565-2023</t>
        </is>
      </c>
      <c r="B973" s="1" t="n">
        <v>44950</v>
      </c>
      <c r="C973" s="1" t="n">
        <v>45791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4239-2023</t>
        </is>
      </c>
      <c r="B974" s="1" t="n">
        <v>44951</v>
      </c>
      <c r="C974" s="1" t="n">
        <v>45791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4657-2023</t>
        </is>
      </c>
      <c r="B975" s="1" t="n">
        <v>44952</v>
      </c>
      <c r="C975" s="1" t="n">
        <v>45791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statliga verk och myndigheter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4423-2023</t>
        </is>
      </c>
      <c r="B976" s="1" t="n">
        <v>44956</v>
      </c>
      <c r="C976" s="1" t="n">
        <v>45791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5272-2023</t>
        </is>
      </c>
      <c r="B977" s="1" t="n">
        <v>44959</v>
      </c>
      <c r="C977" s="1" t="n">
        <v>45791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5239-2023</t>
        </is>
      </c>
      <c r="B978" s="1" t="n">
        <v>44959</v>
      </c>
      <c r="C978" s="1" t="n">
        <v>45791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5270-2023</t>
        </is>
      </c>
      <c r="B979" s="1" t="n">
        <v>44959</v>
      </c>
      <c r="C979" s="1" t="n">
        <v>45791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5276-2023</t>
        </is>
      </c>
      <c r="B980" s="1" t="n">
        <v>44959</v>
      </c>
      <c r="C980" s="1" t="n">
        <v>45791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5629-2023</t>
        </is>
      </c>
      <c r="B981" s="1" t="n">
        <v>44960</v>
      </c>
      <c r="C981" s="1" t="n">
        <v>45791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5761-2023</t>
        </is>
      </c>
      <c r="B982" s="1" t="n">
        <v>44963</v>
      </c>
      <c r="C982" s="1" t="n">
        <v>45791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45791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5760-2023</t>
        </is>
      </c>
      <c r="B984" s="1" t="n">
        <v>44963</v>
      </c>
      <c r="C984" s="1" t="n">
        <v>45791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5764-2023</t>
        </is>
      </c>
      <c r="B985" s="1" t="n">
        <v>44963</v>
      </c>
      <c r="C985" s="1" t="n">
        <v>45791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5943-2023</t>
        </is>
      </c>
      <c r="B986" s="1" t="n">
        <v>44963</v>
      </c>
      <c r="C986" s="1" t="n">
        <v>45791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6487-2023</t>
        </is>
      </c>
      <c r="B987" s="1" t="n">
        <v>44966</v>
      </c>
      <c r="C987" s="1" t="n">
        <v>45791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6934-2023</t>
        </is>
      </c>
      <c r="B988" s="1" t="n">
        <v>44967</v>
      </c>
      <c r="C988" s="1" t="n">
        <v>45791</v>
      </c>
      <c r="D988" t="inlineStr">
        <is>
          <t>KRONOBERGS LÄN</t>
        </is>
      </c>
      <c r="E988" t="inlineStr">
        <is>
          <t>VÄXJÖ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7251-2023</t>
        </is>
      </c>
      <c r="B989" s="1" t="n">
        <v>44970</v>
      </c>
      <c r="C989" s="1" t="n">
        <v>45791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7404-2023</t>
        </is>
      </c>
      <c r="B990" s="1" t="n">
        <v>44971</v>
      </c>
      <c r="C990" s="1" t="n">
        <v>45791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7406-2023</t>
        </is>
      </c>
      <c r="B991" s="1" t="n">
        <v>44971</v>
      </c>
      <c r="C991" s="1" t="n">
        <v>45791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7677-2023</t>
        </is>
      </c>
      <c r="B992" s="1" t="n">
        <v>44972</v>
      </c>
      <c r="C992" s="1" t="n">
        <v>45791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</v>
      </c>
      <c r="C993" s="1" t="n">
        <v>45791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8571-2023</t>
        </is>
      </c>
      <c r="B994" s="1" t="n">
        <v>44977</v>
      </c>
      <c r="C994" s="1" t="n">
        <v>45791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8686-2023</t>
        </is>
      </c>
      <c r="B995" s="1" t="n">
        <v>44978</v>
      </c>
      <c r="C995" s="1" t="n">
        <v>45791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</v>
      </c>
      <c r="C996" s="1" t="n">
        <v>45791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9326-2023</t>
        </is>
      </c>
      <c r="B997" s="1" t="n">
        <v>44980</v>
      </c>
      <c r="C997" s="1" t="n">
        <v>45791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9397-2023</t>
        </is>
      </c>
      <c r="B998" s="1" t="n">
        <v>44981</v>
      </c>
      <c r="C998" s="1" t="n">
        <v>45791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9496-2023</t>
        </is>
      </c>
      <c r="B999" s="1" t="n">
        <v>44981</v>
      </c>
      <c r="C999" s="1" t="n">
        <v>45791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45791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11079-2023</t>
        </is>
      </c>
      <c r="B1001" s="1" t="n">
        <v>44986</v>
      </c>
      <c r="C1001" s="1" t="n">
        <v>45791</v>
      </c>
      <c r="D1001" t="inlineStr">
        <is>
          <t>KRONOBERGS LÄN</t>
        </is>
      </c>
      <c r="E1001" t="inlineStr">
        <is>
          <t>VÄXJÖ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10566-2023</t>
        </is>
      </c>
      <c r="B1002" s="1" t="n">
        <v>44988</v>
      </c>
      <c r="C1002" s="1" t="n">
        <v>45791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10875-2023</t>
        </is>
      </c>
      <c r="B1003" s="1" t="n">
        <v>44991</v>
      </c>
      <c r="C1003" s="1" t="n">
        <v>45791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10955-2023</t>
        </is>
      </c>
      <c r="B1004" s="1" t="n">
        <v>44991</v>
      </c>
      <c r="C1004" s="1" t="n">
        <v>45791</v>
      </c>
      <c r="D1004" t="inlineStr">
        <is>
          <t>KRONOBERGS LÄN</t>
        </is>
      </c>
      <c r="E1004" t="inlineStr">
        <is>
          <t>VÄXJÖ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11271-2023</t>
        </is>
      </c>
      <c r="B1005" s="1" t="n">
        <v>44992</v>
      </c>
      <c r="C1005" s="1" t="n">
        <v>45791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11894-2023</t>
        </is>
      </c>
      <c r="B1006" s="1" t="n">
        <v>44993</v>
      </c>
      <c r="C1006" s="1" t="n">
        <v>45791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11868-2023</t>
        </is>
      </c>
      <c r="B1007" s="1" t="n">
        <v>44993</v>
      </c>
      <c r="C1007" s="1" t="n">
        <v>45791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11686-2023</t>
        </is>
      </c>
      <c r="B1008" s="1" t="n">
        <v>44994</v>
      </c>
      <c r="C1008" s="1" t="n">
        <v>45791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12015-2023</t>
        </is>
      </c>
      <c r="B1009" s="1" t="n">
        <v>44995</v>
      </c>
      <c r="C1009" s="1" t="n">
        <v>45791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12247-2023</t>
        </is>
      </c>
      <c r="B1010" s="1" t="n">
        <v>44995</v>
      </c>
      <c r="C1010" s="1" t="n">
        <v>45791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12211-2023</t>
        </is>
      </c>
      <c r="B1011" s="1" t="n">
        <v>44998</v>
      </c>
      <c r="C1011" s="1" t="n">
        <v>45791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12115-2023</t>
        </is>
      </c>
      <c r="B1012" s="1" t="n">
        <v>44998</v>
      </c>
      <c r="C1012" s="1" t="n">
        <v>45791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12704-2023</t>
        </is>
      </c>
      <c r="B1013" s="1" t="n">
        <v>45000</v>
      </c>
      <c r="C1013" s="1" t="n">
        <v>45791</v>
      </c>
      <c r="D1013" t="inlineStr">
        <is>
          <t>KRONOBERGS LÄN</t>
        </is>
      </c>
      <c r="E1013" t="inlineStr">
        <is>
          <t>VÄXJÖ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13941-2023</t>
        </is>
      </c>
      <c r="B1014" s="1" t="n">
        <v>45008</v>
      </c>
      <c r="C1014" s="1" t="n">
        <v>45791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14427-2023</t>
        </is>
      </c>
      <c r="B1015" s="1" t="n">
        <v>45009</v>
      </c>
      <c r="C1015" s="1" t="n">
        <v>45791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14374-2023</t>
        </is>
      </c>
      <c r="B1016" s="1" t="n">
        <v>45012</v>
      </c>
      <c r="C1016" s="1" t="n">
        <v>45791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</v>
      </c>
      <c r="C1017" s="1" t="n">
        <v>45791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14639-2023</t>
        </is>
      </c>
      <c r="B1018" s="1" t="n">
        <v>45013</v>
      </c>
      <c r="C1018" s="1" t="n">
        <v>45791</v>
      </c>
      <c r="D1018" t="inlineStr">
        <is>
          <t>KRONOBERGS LÄN</t>
        </is>
      </c>
      <c r="E1018" t="inlineStr">
        <is>
          <t>VÄXJÖ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14695-2023</t>
        </is>
      </c>
      <c r="B1019" s="1" t="n">
        <v>45014</v>
      </c>
      <c r="C1019" s="1" t="n">
        <v>45791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14766-2023</t>
        </is>
      </c>
      <c r="B1020" s="1" t="n">
        <v>45014</v>
      </c>
      <c r="C1020" s="1" t="n">
        <v>45791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14818-2023</t>
        </is>
      </c>
      <c r="B1021" s="1" t="n">
        <v>45014</v>
      </c>
      <c r="C1021" s="1" t="n">
        <v>45791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</v>
      </c>
      <c r="C1022" s="1" t="n">
        <v>45791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15218-2023</t>
        </is>
      </c>
      <c r="B1023" s="1" t="n">
        <v>45019</v>
      </c>
      <c r="C1023" s="1" t="n">
        <v>45791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15369-2023</t>
        </is>
      </c>
      <c r="B1024" s="1" t="n">
        <v>45019</v>
      </c>
      <c r="C1024" s="1" t="n">
        <v>45791</v>
      </c>
      <c r="D1024" t="inlineStr">
        <is>
          <t>KRONOBERGS LÄN</t>
        </is>
      </c>
      <c r="E1024" t="inlineStr">
        <is>
          <t>VÄXJÖ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15363-2023</t>
        </is>
      </c>
      <c r="B1025" s="1" t="n">
        <v>45019</v>
      </c>
      <c r="C1025" s="1" t="n">
        <v>45791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15580-2023</t>
        </is>
      </c>
      <c r="B1026" s="1" t="n">
        <v>45020</v>
      </c>
      <c r="C1026" s="1" t="n">
        <v>45791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15751-2023</t>
        </is>
      </c>
      <c r="B1027" s="1" t="n">
        <v>45021</v>
      </c>
      <c r="C1027" s="1" t="n">
        <v>45791</v>
      </c>
      <c r="D1027" t="inlineStr">
        <is>
          <t>KRONOBERGS LÄN</t>
        </is>
      </c>
      <c r="E1027" t="inlineStr">
        <is>
          <t>VÄXJÖ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15935-2023</t>
        </is>
      </c>
      <c r="B1028" s="1" t="n">
        <v>45022</v>
      </c>
      <c r="C1028" s="1" t="n">
        <v>45791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16094-2023</t>
        </is>
      </c>
      <c r="B1029" s="1" t="n">
        <v>45027</v>
      </c>
      <c r="C1029" s="1" t="n">
        <v>45791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16200-2023</t>
        </is>
      </c>
      <c r="B1030" s="1" t="n">
        <v>45028</v>
      </c>
      <c r="C1030" s="1" t="n">
        <v>45791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16259-2023</t>
        </is>
      </c>
      <c r="B1031" s="1" t="n">
        <v>45028</v>
      </c>
      <c r="C1031" s="1" t="n">
        <v>45791</v>
      </c>
      <c r="D1031" t="inlineStr">
        <is>
          <t>KRONOBERGS LÄN</t>
        </is>
      </c>
      <c r="E1031" t="inlineStr">
        <is>
          <t>VÄXJÖ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16198-2023</t>
        </is>
      </c>
      <c r="B1032" s="1" t="n">
        <v>45028</v>
      </c>
      <c r="C1032" s="1" t="n">
        <v>45791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16449-2023</t>
        </is>
      </c>
      <c r="B1033" s="1" t="n">
        <v>45029</v>
      </c>
      <c r="C1033" s="1" t="n">
        <v>45791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16519-2023</t>
        </is>
      </c>
      <c r="B1034" s="1" t="n">
        <v>45029</v>
      </c>
      <c r="C1034" s="1" t="n">
        <v>45791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16590-2023</t>
        </is>
      </c>
      <c r="B1035" s="1" t="n">
        <v>45030</v>
      </c>
      <c r="C1035" s="1" t="n">
        <v>45791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16584-2023</t>
        </is>
      </c>
      <c r="B1036" s="1" t="n">
        <v>45030</v>
      </c>
      <c r="C1036" s="1" t="n">
        <v>45791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16990-2023</t>
        </is>
      </c>
      <c r="B1037" s="1" t="n">
        <v>45033</v>
      </c>
      <c r="C1037" s="1" t="n">
        <v>45791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17504-2023</t>
        </is>
      </c>
      <c r="B1038" s="1" t="n">
        <v>45036</v>
      </c>
      <c r="C1038" s="1" t="n">
        <v>45791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17597-2023</t>
        </is>
      </c>
      <c r="B1039" s="1" t="n">
        <v>45036</v>
      </c>
      <c r="C1039" s="1" t="n">
        <v>45791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17775-2023</t>
        </is>
      </c>
      <c r="B1040" s="1" t="n">
        <v>45037</v>
      </c>
      <c r="C1040" s="1" t="n">
        <v>45791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17778-2023</t>
        </is>
      </c>
      <c r="B1041" s="1" t="n">
        <v>45037</v>
      </c>
      <c r="C1041" s="1" t="n">
        <v>45791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19021-2023</t>
        </is>
      </c>
      <c r="B1042" s="1" t="n">
        <v>45047</v>
      </c>
      <c r="C1042" s="1" t="n">
        <v>45791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19111-2023</t>
        </is>
      </c>
      <c r="B1043" s="1" t="n">
        <v>45048</v>
      </c>
      <c r="C1043" s="1" t="n">
        <v>45791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19187-2023</t>
        </is>
      </c>
      <c r="B1044" s="1" t="n">
        <v>45048</v>
      </c>
      <c r="C1044" s="1" t="n">
        <v>45791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19267-2023</t>
        </is>
      </c>
      <c r="B1045" s="1" t="n">
        <v>45049</v>
      </c>
      <c r="C1045" s="1" t="n">
        <v>45791</v>
      </c>
      <c r="D1045" t="inlineStr">
        <is>
          <t>KRONOBERGS LÄN</t>
        </is>
      </c>
      <c r="E1045" t="inlineStr">
        <is>
          <t>VÄXJÖ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19275-2023</t>
        </is>
      </c>
      <c r="B1046" s="1" t="n">
        <v>45049</v>
      </c>
      <c r="C1046" s="1" t="n">
        <v>45791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19278-2023</t>
        </is>
      </c>
      <c r="B1047" s="1" t="n">
        <v>45049</v>
      </c>
      <c r="C1047" s="1" t="n">
        <v>45791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20132-2023</t>
        </is>
      </c>
      <c r="B1048" s="1" t="n">
        <v>45055</v>
      </c>
      <c r="C1048" s="1" t="n">
        <v>45791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20397-2023</t>
        </is>
      </c>
      <c r="B1049" s="1" t="n">
        <v>45056</v>
      </c>
      <c r="C1049" s="1" t="n">
        <v>45791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20335-2023</t>
        </is>
      </c>
      <c r="B1050" s="1" t="n">
        <v>45056</v>
      </c>
      <c r="C1050" s="1" t="n">
        <v>45791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20478-2023</t>
        </is>
      </c>
      <c r="B1051" s="1" t="n">
        <v>45057</v>
      </c>
      <c r="C1051" s="1" t="n">
        <v>45791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21231-2023</t>
        </is>
      </c>
      <c r="B1052" s="1" t="n">
        <v>45058</v>
      </c>
      <c r="C1052" s="1" t="n">
        <v>45791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21227-2023</t>
        </is>
      </c>
      <c r="B1053" s="1" t="n">
        <v>45058</v>
      </c>
      <c r="C1053" s="1" t="n">
        <v>45791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20996-2023</t>
        </is>
      </c>
      <c r="B1054" s="1" t="n">
        <v>45061</v>
      </c>
      <c r="C1054" s="1" t="n">
        <v>45791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21035-2023</t>
        </is>
      </c>
      <c r="B1055" s="1" t="n">
        <v>45061</v>
      </c>
      <c r="C1055" s="1" t="n">
        <v>45791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45791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21023-2023</t>
        </is>
      </c>
      <c r="B1057" s="1" t="n">
        <v>45061</v>
      </c>
      <c r="C1057" s="1" t="n">
        <v>45791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21044-2023</t>
        </is>
      </c>
      <c r="B1058" s="1" t="n">
        <v>45061</v>
      </c>
      <c r="C1058" s="1" t="n">
        <v>45791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21467-2023</t>
        </is>
      </c>
      <c r="B1059" s="1" t="n">
        <v>45063</v>
      </c>
      <c r="C1059" s="1" t="n">
        <v>45791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21516-2023</t>
        </is>
      </c>
      <c r="B1060" s="1" t="n">
        <v>45063</v>
      </c>
      <c r="C1060" s="1" t="n">
        <v>45791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21764-2023</t>
        </is>
      </c>
      <c r="B1061" s="1" t="n">
        <v>45065</v>
      </c>
      <c r="C1061" s="1" t="n">
        <v>45791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21768-2023</t>
        </is>
      </c>
      <c r="B1062" s="1" t="n">
        <v>45065</v>
      </c>
      <c r="C1062" s="1" t="n">
        <v>45791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22241-2023</t>
        </is>
      </c>
      <c r="B1063" s="1" t="n">
        <v>45070</v>
      </c>
      <c r="C1063" s="1" t="n">
        <v>45791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22242-2023</t>
        </is>
      </c>
      <c r="B1064" s="1" t="n">
        <v>45070</v>
      </c>
      <c r="C1064" s="1" t="n">
        <v>45791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22668-2023</t>
        </is>
      </c>
      <c r="B1065" s="1" t="n">
        <v>45071</v>
      </c>
      <c r="C1065" s="1" t="n">
        <v>45791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22669-2023</t>
        </is>
      </c>
      <c r="B1066" s="1" t="n">
        <v>45071</v>
      </c>
      <c r="C1066" s="1" t="n">
        <v>45791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22673-2023</t>
        </is>
      </c>
      <c r="B1067" s="1" t="n">
        <v>45071</v>
      </c>
      <c r="C1067" s="1" t="n">
        <v>45791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22671-2023</t>
        </is>
      </c>
      <c r="B1068" s="1" t="n">
        <v>45071</v>
      </c>
      <c r="C1068" s="1" t="n">
        <v>45791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23242-2023</t>
        </is>
      </c>
      <c r="B1069" s="1" t="n">
        <v>45075</v>
      </c>
      <c r="C1069" s="1" t="n">
        <v>45791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24019-2023</t>
        </is>
      </c>
      <c r="B1070" s="1" t="n">
        <v>45078</v>
      </c>
      <c r="C1070" s="1" t="n">
        <v>45791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24683-2023</t>
        </is>
      </c>
      <c r="B1071" s="1" t="n">
        <v>45084</v>
      </c>
      <c r="C1071" s="1" t="n">
        <v>45791</v>
      </c>
      <c r="D1071" t="inlineStr">
        <is>
          <t>KRONOBERGS LÄN</t>
        </is>
      </c>
      <c r="E1071" t="inlineStr">
        <is>
          <t>VÄXJÖ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24684-2023</t>
        </is>
      </c>
      <c r="B1072" s="1" t="n">
        <v>45084</v>
      </c>
      <c r="C1072" s="1" t="n">
        <v>45791</v>
      </c>
      <c r="D1072" t="inlineStr">
        <is>
          <t>KRONOBERGS LÄN</t>
        </is>
      </c>
      <c r="E1072" t="inlineStr">
        <is>
          <t>VÄXJÖ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24905-2023</t>
        </is>
      </c>
      <c r="B1073" s="1" t="n">
        <v>45085</v>
      </c>
      <c r="C1073" s="1" t="n">
        <v>45791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24914-2023</t>
        </is>
      </c>
      <c r="B1074" s="1" t="n">
        <v>45085</v>
      </c>
      <c r="C1074" s="1" t="n">
        <v>45791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25263-2023</t>
        </is>
      </c>
      <c r="B1075" s="1" t="n">
        <v>45086</v>
      </c>
      <c r="C1075" s="1" t="n">
        <v>45791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25461-2023</t>
        </is>
      </c>
      <c r="B1076" s="1" t="n">
        <v>45089</v>
      </c>
      <c r="C1076" s="1" t="n">
        <v>45791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25717-2023</t>
        </is>
      </c>
      <c r="B1077" s="1" t="n">
        <v>45090</v>
      </c>
      <c r="C1077" s="1" t="n">
        <v>45791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</v>
      </c>
      <c r="C1078" s="1" t="n">
        <v>45791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25961-2023</t>
        </is>
      </c>
      <c r="B1079" s="1" t="n">
        <v>45090</v>
      </c>
      <c r="C1079" s="1" t="n">
        <v>45791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26063-2023</t>
        </is>
      </c>
      <c r="B1080" s="1" t="n">
        <v>45091</v>
      </c>
      <c r="C1080" s="1" t="n">
        <v>45791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26085-2023</t>
        </is>
      </c>
      <c r="B1081" s="1" t="n">
        <v>45091</v>
      </c>
      <c r="C1081" s="1" t="n">
        <v>45791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26980-2023</t>
        </is>
      </c>
      <c r="B1082" s="1" t="n">
        <v>45091</v>
      </c>
      <c r="C1082" s="1" t="n">
        <v>45791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26982-2023</t>
        </is>
      </c>
      <c r="B1083" s="1" t="n">
        <v>45091</v>
      </c>
      <c r="C1083" s="1" t="n">
        <v>45791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26981-2023</t>
        </is>
      </c>
      <c r="B1084" s="1" t="n">
        <v>45091</v>
      </c>
      <c r="C1084" s="1" t="n">
        <v>45791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27189-2023</t>
        </is>
      </c>
      <c r="B1085" s="1" t="n">
        <v>45092</v>
      </c>
      <c r="C1085" s="1" t="n">
        <v>45791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26738-2023</t>
        </is>
      </c>
      <c r="B1086" s="1" t="n">
        <v>45093</v>
      </c>
      <c r="C1086" s="1" t="n">
        <v>45791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29165-2023</t>
        </is>
      </c>
      <c r="B1087" s="1" t="n">
        <v>45097</v>
      </c>
      <c r="C1087" s="1" t="n">
        <v>45791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29161-2023</t>
        </is>
      </c>
      <c r="B1088" s="1" t="n">
        <v>45097</v>
      </c>
      <c r="C1088" s="1" t="n">
        <v>45791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29269-2023</t>
        </is>
      </c>
      <c r="B1089" s="1" t="n">
        <v>45098</v>
      </c>
      <c r="C1089" s="1" t="n">
        <v>45791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28568-2023</t>
        </is>
      </c>
      <c r="B1090" s="1" t="n">
        <v>45103</v>
      </c>
      <c r="C1090" s="1" t="n">
        <v>45791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28567-2023</t>
        </is>
      </c>
      <c r="B1091" s="1" t="n">
        <v>45103</v>
      </c>
      <c r="C1091" s="1" t="n">
        <v>45791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28571-2023</t>
        </is>
      </c>
      <c r="B1092" s="1" t="n">
        <v>45103</v>
      </c>
      <c r="C1092" s="1" t="n">
        <v>45791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28576-2023</t>
        </is>
      </c>
      <c r="B1093" s="1" t="n">
        <v>45103</v>
      </c>
      <c r="C1093" s="1" t="n">
        <v>45791</v>
      </c>
      <c r="D1093" t="inlineStr">
        <is>
          <t>KRONOBERGS LÄN</t>
        </is>
      </c>
      <c r="E1093" t="inlineStr">
        <is>
          <t>VÄXJÖ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28565-2023</t>
        </is>
      </c>
      <c r="B1094" s="1" t="n">
        <v>45103</v>
      </c>
      <c r="C1094" s="1" t="n">
        <v>45791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28573-2023</t>
        </is>
      </c>
      <c r="B1095" s="1" t="n">
        <v>45103</v>
      </c>
      <c r="C1095" s="1" t="n">
        <v>45791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28570-2023</t>
        </is>
      </c>
      <c r="B1096" s="1" t="n">
        <v>45103</v>
      </c>
      <c r="C1096" s="1" t="n">
        <v>45791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28972-2023</t>
        </is>
      </c>
      <c r="B1097" s="1" t="n">
        <v>45104</v>
      </c>
      <c r="C1097" s="1" t="n">
        <v>45791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28983-2023</t>
        </is>
      </c>
      <c r="B1098" s="1" t="n">
        <v>45104</v>
      </c>
      <c r="C1098" s="1" t="n">
        <v>45791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29103-2023</t>
        </is>
      </c>
      <c r="B1099" s="1" t="n">
        <v>45105</v>
      </c>
      <c r="C1099" s="1" t="n">
        <v>45791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29477-2023</t>
        </is>
      </c>
      <c r="B1100" s="1" t="n">
        <v>45106</v>
      </c>
      <c r="C1100" s="1" t="n">
        <v>45791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29984-2023</t>
        </is>
      </c>
      <c r="B1101" s="1" t="n">
        <v>45108</v>
      </c>
      <c r="C1101" s="1" t="n">
        <v>45791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29978-2023</t>
        </is>
      </c>
      <c r="B1102" s="1" t="n">
        <v>45109</v>
      </c>
      <c r="C1102" s="1" t="n">
        <v>45791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30261-2023</t>
        </is>
      </c>
      <c r="B1103" s="1" t="n">
        <v>45110</v>
      </c>
      <c r="C1103" s="1" t="n">
        <v>45791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30436-2023</t>
        </is>
      </c>
      <c r="B1104" s="1" t="n">
        <v>45111</v>
      </c>
      <c r="C1104" s="1" t="n">
        <v>45791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30438-2023</t>
        </is>
      </c>
      <c r="B1105" s="1" t="n">
        <v>45111</v>
      </c>
      <c r="C1105" s="1" t="n">
        <v>45791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30680-2023</t>
        </is>
      </c>
      <c r="B1106" s="1" t="n">
        <v>45112</v>
      </c>
      <c r="C1106" s="1" t="n">
        <v>45791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30788-2023</t>
        </is>
      </c>
      <c r="B1107" s="1" t="n">
        <v>45112</v>
      </c>
      <c r="C1107" s="1" t="n">
        <v>45791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30661-2023</t>
        </is>
      </c>
      <c r="B1108" s="1" t="n">
        <v>45112</v>
      </c>
      <c r="C1108" s="1" t="n">
        <v>45791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30789-2023</t>
        </is>
      </c>
      <c r="B1109" s="1" t="n">
        <v>45112</v>
      </c>
      <c r="C1109" s="1" t="n">
        <v>45791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31029-2023</t>
        </is>
      </c>
      <c r="B1110" s="1" t="n">
        <v>45113</v>
      </c>
      <c r="C1110" s="1" t="n">
        <v>45791</v>
      </c>
      <c r="D1110" t="inlineStr">
        <is>
          <t>KRONOBERGS LÄN</t>
        </is>
      </c>
      <c r="E1110" t="inlineStr">
        <is>
          <t>VÄXJÖ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31022-2023</t>
        </is>
      </c>
      <c r="B1111" s="1" t="n">
        <v>45113</v>
      </c>
      <c r="C1111" s="1" t="n">
        <v>45791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31126-2023</t>
        </is>
      </c>
      <c r="B1112" s="1" t="n">
        <v>45113</v>
      </c>
      <c r="C1112" s="1" t="n">
        <v>45791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31364-2023</t>
        </is>
      </c>
      <c r="B1113" s="1" t="n">
        <v>45114</v>
      </c>
      <c r="C1113" s="1" t="n">
        <v>45791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31469-2023</t>
        </is>
      </c>
      <c r="B1114" s="1" t="n">
        <v>45114</v>
      </c>
      <c r="C1114" s="1" t="n">
        <v>45791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31363-2023</t>
        </is>
      </c>
      <c r="B1115" s="1" t="n">
        <v>45114</v>
      </c>
      <c r="C1115" s="1" t="n">
        <v>45791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31375-2023</t>
        </is>
      </c>
      <c r="B1116" s="1" t="n">
        <v>45114</v>
      </c>
      <c r="C1116" s="1" t="n">
        <v>45791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31466-2023</t>
        </is>
      </c>
      <c r="B1117" s="1" t="n">
        <v>45114</v>
      </c>
      <c r="C1117" s="1" t="n">
        <v>45791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33538-2023</t>
        </is>
      </c>
      <c r="B1118" s="1" t="n">
        <v>45118</v>
      </c>
      <c r="C1118" s="1" t="n">
        <v>45791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32488-2023</t>
        </is>
      </c>
      <c r="B1119" s="1" t="n">
        <v>45121</v>
      </c>
      <c r="C1119" s="1" t="n">
        <v>45791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32492-2023</t>
        </is>
      </c>
      <c r="B1120" s="1" t="n">
        <v>45121</v>
      </c>
      <c r="C1120" s="1" t="n">
        <v>45791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32496-2023</t>
        </is>
      </c>
      <c r="B1121" s="1" t="n">
        <v>45121</v>
      </c>
      <c r="C1121" s="1" t="n">
        <v>45791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32500-2023</t>
        </is>
      </c>
      <c r="B1122" s="1" t="n">
        <v>45121</v>
      </c>
      <c r="C1122" s="1" t="n">
        <v>45791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32487-2023</t>
        </is>
      </c>
      <c r="B1123" s="1" t="n">
        <v>45121</v>
      </c>
      <c r="C1123" s="1" t="n">
        <v>45791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32491-2023</t>
        </is>
      </c>
      <c r="B1124" s="1" t="n">
        <v>45121</v>
      </c>
      <c r="C1124" s="1" t="n">
        <v>45791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32495-2023</t>
        </is>
      </c>
      <c r="B1125" s="1" t="n">
        <v>45121</v>
      </c>
      <c r="C1125" s="1" t="n">
        <v>45791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32504-2023</t>
        </is>
      </c>
      <c r="B1126" s="1" t="n">
        <v>45121</v>
      </c>
      <c r="C1126" s="1" t="n">
        <v>45791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32486-2023</t>
        </is>
      </c>
      <c r="B1127" s="1" t="n">
        <v>45121</v>
      </c>
      <c r="C1127" s="1" t="n">
        <v>45791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32490-2023</t>
        </is>
      </c>
      <c r="B1128" s="1" t="n">
        <v>45121</v>
      </c>
      <c r="C1128" s="1" t="n">
        <v>45791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32498-2023</t>
        </is>
      </c>
      <c r="B1129" s="1" t="n">
        <v>45121</v>
      </c>
      <c r="C1129" s="1" t="n">
        <v>45791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32503-2023</t>
        </is>
      </c>
      <c r="B1130" s="1" t="n">
        <v>45121</v>
      </c>
      <c r="C1130" s="1" t="n">
        <v>45791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32485-2023</t>
        </is>
      </c>
      <c r="B1131" s="1" t="n">
        <v>45121</v>
      </c>
      <c r="C1131" s="1" t="n">
        <v>45791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32489-2023</t>
        </is>
      </c>
      <c r="B1132" s="1" t="n">
        <v>45121</v>
      </c>
      <c r="C1132" s="1" t="n">
        <v>45791</v>
      </c>
      <c r="D1132" t="inlineStr">
        <is>
          <t>KRONOBERGS LÄN</t>
        </is>
      </c>
      <c r="E1132" t="inlineStr">
        <is>
          <t>VÄXJÖ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32493-2023</t>
        </is>
      </c>
      <c r="B1133" s="1" t="n">
        <v>45121</v>
      </c>
      <c r="C1133" s="1" t="n">
        <v>45791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33808-2023</t>
        </is>
      </c>
      <c r="B1134" s="1" t="n">
        <v>45121</v>
      </c>
      <c r="C1134" s="1" t="n">
        <v>45791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32836-2023</t>
        </is>
      </c>
      <c r="B1135" s="1" t="n">
        <v>45124</v>
      </c>
      <c r="C1135" s="1" t="n">
        <v>45791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32828-2023</t>
        </is>
      </c>
      <c r="B1136" s="1" t="n">
        <v>45124</v>
      </c>
      <c r="C1136" s="1" t="n">
        <v>45791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32834-2023</t>
        </is>
      </c>
      <c r="B1137" s="1" t="n">
        <v>45124</v>
      </c>
      <c r="C1137" s="1" t="n">
        <v>45791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33183-2023</t>
        </is>
      </c>
      <c r="B1138" s="1" t="n">
        <v>45127</v>
      </c>
      <c r="C1138" s="1" t="n">
        <v>45791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33187-2023</t>
        </is>
      </c>
      <c r="B1139" s="1" t="n">
        <v>45127</v>
      </c>
      <c r="C1139" s="1" t="n">
        <v>45791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33211-2023</t>
        </is>
      </c>
      <c r="B1140" s="1" t="n">
        <v>45127</v>
      </c>
      <c r="C1140" s="1" t="n">
        <v>45791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33204-2023</t>
        </is>
      </c>
      <c r="B1141" s="1" t="n">
        <v>45127</v>
      </c>
      <c r="C1141" s="1" t="n">
        <v>45791</v>
      </c>
      <c r="D1141" t="inlineStr">
        <is>
          <t>KRONOBERGS LÄN</t>
        </is>
      </c>
      <c r="E1141" t="inlineStr">
        <is>
          <t>VÄXJÖ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33202-2023</t>
        </is>
      </c>
      <c r="B1142" s="1" t="n">
        <v>45127</v>
      </c>
      <c r="C1142" s="1" t="n">
        <v>45791</v>
      </c>
      <c r="D1142" t="inlineStr">
        <is>
          <t>KRONOBERGS LÄN</t>
        </is>
      </c>
      <c r="E1142" t="inlineStr">
        <is>
          <t>VÄXJÖ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33208-2023</t>
        </is>
      </c>
      <c r="B1143" s="1" t="n">
        <v>45127</v>
      </c>
      <c r="C1143" s="1" t="n">
        <v>45791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33223-2023</t>
        </is>
      </c>
      <c r="B1144" s="1" t="n">
        <v>45127</v>
      </c>
      <c r="C1144" s="1" t="n">
        <v>45791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33185-2023</t>
        </is>
      </c>
      <c r="B1145" s="1" t="n">
        <v>45127</v>
      </c>
      <c r="C1145" s="1" t="n">
        <v>45791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33206-2023</t>
        </is>
      </c>
      <c r="B1146" s="1" t="n">
        <v>45127</v>
      </c>
      <c r="C1146" s="1" t="n">
        <v>45791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33283-2023</t>
        </is>
      </c>
      <c r="B1147" s="1" t="n">
        <v>45127</v>
      </c>
      <c r="C1147" s="1" t="n">
        <v>45791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33217-2023</t>
        </is>
      </c>
      <c r="B1148" s="1" t="n">
        <v>45127</v>
      </c>
      <c r="C1148" s="1" t="n">
        <v>45791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33279-2023</t>
        </is>
      </c>
      <c r="B1149" s="1" t="n">
        <v>45127</v>
      </c>
      <c r="C1149" s="1" t="n">
        <v>45791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33284-2023</t>
        </is>
      </c>
      <c r="B1150" s="1" t="n">
        <v>45127</v>
      </c>
      <c r="C1150" s="1" t="n">
        <v>45791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33393-2023</t>
        </is>
      </c>
      <c r="B1151" s="1" t="n">
        <v>45128</v>
      </c>
      <c r="C1151" s="1" t="n">
        <v>45791</v>
      </c>
      <c r="D1151" t="inlineStr">
        <is>
          <t>KRONOBERGS LÄN</t>
        </is>
      </c>
      <c r="E1151" t="inlineStr">
        <is>
          <t>VÄXJÖ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33398-2023</t>
        </is>
      </c>
      <c r="B1152" s="1" t="n">
        <v>45128</v>
      </c>
      <c r="C1152" s="1" t="n">
        <v>45791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33391-2023</t>
        </is>
      </c>
      <c r="B1153" s="1" t="n">
        <v>45128</v>
      </c>
      <c r="C1153" s="1" t="n">
        <v>45791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</v>
      </c>
      <c r="C1154" s="1" t="n">
        <v>45791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34463-2023</t>
        </is>
      </c>
      <c r="B1155" s="1" t="n">
        <v>45139</v>
      </c>
      <c r="C1155" s="1" t="n">
        <v>45791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34454-2023</t>
        </is>
      </c>
      <c r="B1156" s="1" t="n">
        <v>45139</v>
      </c>
      <c r="C1156" s="1" t="n">
        <v>45791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34456-2023</t>
        </is>
      </c>
      <c r="B1157" s="1" t="n">
        <v>45139</v>
      </c>
      <c r="C1157" s="1" t="n">
        <v>45791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34464-2023</t>
        </is>
      </c>
      <c r="B1158" s="1" t="n">
        <v>45139</v>
      </c>
      <c r="C1158" s="1" t="n">
        <v>45791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34552-2023</t>
        </is>
      </c>
      <c r="B1159" s="1" t="n">
        <v>45140</v>
      </c>
      <c r="C1159" s="1" t="n">
        <v>45791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34549-2023</t>
        </is>
      </c>
      <c r="B1160" s="1" t="n">
        <v>45140</v>
      </c>
      <c r="C1160" s="1" t="n">
        <v>45791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34636-2023</t>
        </is>
      </c>
      <c r="B1161" s="1" t="n">
        <v>45140</v>
      </c>
      <c r="C1161" s="1" t="n">
        <v>45791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34719-2023</t>
        </is>
      </c>
      <c r="B1162" s="1" t="n">
        <v>45141</v>
      </c>
      <c r="C1162" s="1" t="n">
        <v>45791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34744-2023</t>
        </is>
      </c>
      <c r="B1163" s="1" t="n">
        <v>45141</v>
      </c>
      <c r="C1163" s="1" t="n">
        <v>45791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34713-2023</t>
        </is>
      </c>
      <c r="B1164" s="1" t="n">
        <v>45141</v>
      </c>
      <c r="C1164" s="1" t="n">
        <v>45791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35061-2023</t>
        </is>
      </c>
      <c r="B1165" s="1" t="n">
        <v>45145</v>
      </c>
      <c r="C1165" s="1" t="n">
        <v>45791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35119-2023</t>
        </is>
      </c>
      <c r="B1166" s="1" t="n">
        <v>45145</v>
      </c>
      <c r="C1166" s="1" t="n">
        <v>45791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35546-2023</t>
        </is>
      </c>
      <c r="B1167" s="1" t="n">
        <v>45147</v>
      </c>
      <c r="C1167" s="1" t="n">
        <v>45791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35543-2023</t>
        </is>
      </c>
      <c r="B1168" s="1" t="n">
        <v>45147</v>
      </c>
      <c r="C1168" s="1" t="n">
        <v>45791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35536-2023</t>
        </is>
      </c>
      <c r="B1169" s="1" t="n">
        <v>45147</v>
      </c>
      <c r="C1169" s="1" t="n">
        <v>45791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35532-2023</t>
        </is>
      </c>
      <c r="B1170" s="1" t="n">
        <v>45147</v>
      </c>
      <c r="C1170" s="1" t="n">
        <v>45791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35550-2023</t>
        </is>
      </c>
      <c r="B1171" s="1" t="n">
        <v>45147</v>
      </c>
      <c r="C1171" s="1" t="n">
        <v>45791</v>
      </c>
      <c r="D1171" t="inlineStr">
        <is>
          <t>KRONOBERGS LÄN</t>
        </is>
      </c>
      <c r="E1171" t="inlineStr">
        <is>
          <t>VÄXJÖ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35868-2023</t>
        </is>
      </c>
      <c r="B1172" s="1" t="n">
        <v>45148</v>
      </c>
      <c r="C1172" s="1" t="n">
        <v>45791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35876-2023</t>
        </is>
      </c>
      <c r="B1173" s="1" t="n">
        <v>45148</v>
      </c>
      <c r="C1173" s="1" t="n">
        <v>45791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36082-2023</t>
        </is>
      </c>
      <c r="B1174" s="1" t="n">
        <v>45149</v>
      </c>
      <c r="C1174" s="1" t="n">
        <v>45791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36150-2023</t>
        </is>
      </c>
      <c r="B1175" s="1" t="n">
        <v>45149</v>
      </c>
      <c r="C1175" s="1" t="n">
        <v>45791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36348-2023</t>
        </is>
      </c>
      <c r="B1176" s="1" t="n">
        <v>45149</v>
      </c>
      <c r="C1176" s="1" t="n">
        <v>45791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36390-2023</t>
        </is>
      </c>
      <c r="B1177" s="1" t="n">
        <v>45152</v>
      </c>
      <c r="C1177" s="1" t="n">
        <v>45791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36522-2023</t>
        </is>
      </c>
      <c r="B1178" s="1" t="n">
        <v>45153</v>
      </c>
      <c r="C1178" s="1" t="n">
        <v>45791</v>
      </c>
      <c r="D1178" t="inlineStr">
        <is>
          <t>KRONOBERGS LÄN</t>
        </is>
      </c>
      <c r="E1178" t="inlineStr">
        <is>
          <t>VÄXJÖ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36724-2023</t>
        </is>
      </c>
      <c r="B1179" s="1" t="n">
        <v>45153</v>
      </c>
      <c r="C1179" s="1" t="n">
        <v>45791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36939-2023</t>
        </is>
      </c>
      <c r="B1180" s="1" t="n">
        <v>45154</v>
      </c>
      <c r="C1180" s="1" t="n">
        <v>45791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37589-2023</t>
        </is>
      </c>
      <c r="B1181" s="1" t="n">
        <v>45155</v>
      </c>
      <c r="C1181" s="1" t="n">
        <v>45791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37523-2023</t>
        </is>
      </c>
      <c r="B1182" s="1" t="n">
        <v>45158</v>
      </c>
      <c r="C1182" s="1" t="n">
        <v>45791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37829-2023</t>
        </is>
      </c>
      <c r="B1183" s="1" t="n">
        <v>45160</v>
      </c>
      <c r="C1183" s="1" t="n">
        <v>45791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38030-2023</t>
        </is>
      </c>
      <c r="B1184" s="1" t="n">
        <v>45160</v>
      </c>
      <c r="C1184" s="1" t="n">
        <v>45791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38880-2023</t>
        </is>
      </c>
      <c r="B1185" s="1" t="n">
        <v>45161</v>
      </c>
      <c r="C1185" s="1" t="n">
        <v>45791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38172-2023</t>
        </is>
      </c>
      <c r="B1186" s="1" t="n">
        <v>45161</v>
      </c>
      <c r="C1186" s="1" t="n">
        <v>45791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38460-2023</t>
        </is>
      </c>
      <c r="B1187" s="1" t="n">
        <v>45162</v>
      </c>
      <c r="C1187" s="1" t="n">
        <v>45791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38459-2023</t>
        </is>
      </c>
      <c r="B1188" s="1" t="n">
        <v>45162</v>
      </c>
      <c r="C1188" s="1" t="n">
        <v>45791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38457-2023</t>
        </is>
      </c>
      <c r="B1189" s="1" t="n">
        <v>45162</v>
      </c>
      <c r="C1189" s="1" t="n">
        <v>45791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39124-2023</t>
        </is>
      </c>
      <c r="B1190" s="1" t="n">
        <v>45165</v>
      </c>
      <c r="C1190" s="1" t="n">
        <v>45791</v>
      </c>
      <c r="D1190" t="inlineStr">
        <is>
          <t>KRONOBERGS LÄN</t>
        </is>
      </c>
      <c r="E1190" t="inlineStr">
        <is>
          <t>VÄXJÖ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</v>
      </c>
      <c r="C1191" s="1" t="n">
        <v>45791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39123-2023</t>
        </is>
      </c>
      <c r="B1192" s="1" t="n">
        <v>45165</v>
      </c>
      <c r="C1192" s="1" t="n">
        <v>45791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39122-2023</t>
        </is>
      </c>
      <c r="B1193" s="1" t="n">
        <v>45165</v>
      </c>
      <c r="C1193" s="1" t="n">
        <v>45791</v>
      </c>
      <c r="D1193" t="inlineStr">
        <is>
          <t>KRONOBERGS LÄN</t>
        </is>
      </c>
      <c r="E1193" t="inlineStr">
        <is>
          <t>VÄXJÖ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39260-2023</t>
        </is>
      </c>
      <c r="B1194" s="1" t="n">
        <v>45166</v>
      </c>
      <c r="C1194" s="1" t="n">
        <v>45791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39395-2023</t>
        </is>
      </c>
      <c r="B1195" s="1" t="n">
        <v>45166</v>
      </c>
      <c r="C1195" s="1" t="n">
        <v>45791</v>
      </c>
      <c r="D1195" t="inlineStr">
        <is>
          <t>KRONOBERGS LÄN</t>
        </is>
      </c>
      <c r="E1195" t="inlineStr">
        <is>
          <t>VÄXJÖ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39428-2023</t>
        </is>
      </c>
      <c r="B1196" s="1" t="n">
        <v>45166</v>
      </c>
      <c r="C1196" s="1" t="n">
        <v>45791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40077-2023</t>
        </is>
      </c>
      <c r="B1197" s="1" t="n">
        <v>45168</v>
      </c>
      <c r="C1197" s="1" t="n">
        <v>45791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40074-2023</t>
        </is>
      </c>
      <c r="B1198" s="1" t="n">
        <v>45168</v>
      </c>
      <c r="C1198" s="1" t="n">
        <v>45791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40076-2023</t>
        </is>
      </c>
      <c r="B1199" s="1" t="n">
        <v>45168</v>
      </c>
      <c r="C1199" s="1" t="n">
        <v>45791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40152-2023</t>
        </is>
      </c>
      <c r="B1200" s="1" t="n">
        <v>45169</v>
      </c>
      <c r="C1200" s="1" t="n">
        <v>45791</v>
      </c>
      <c r="D1200" t="inlineStr">
        <is>
          <t>KRONOBERGS LÄN</t>
        </is>
      </c>
      <c r="E1200" t="inlineStr">
        <is>
          <t>VÄXJÖ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40216-2023</t>
        </is>
      </c>
      <c r="B1201" s="1" t="n">
        <v>45169</v>
      </c>
      <c r="C1201" s="1" t="n">
        <v>45791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40210-2023</t>
        </is>
      </c>
      <c r="B1202" s="1" t="n">
        <v>45169</v>
      </c>
      <c r="C1202" s="1" t="n">
        <v>45791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41278-2023</t>
        </is>
      </c>
      <c r="B1203" s="1" t="n">
        <v>45170</v>
      </c>
      <c r="C1203" s="1" t="n">
        <v>45791</v>
      </c>
      <c r="D1203" t="inlineStr">
        <is>
          <t>KRONOBERGS LÄN</t>
        </is>
      </c>
      <c r="E1203" t="inlineStr">
        <is>
          <t>VÄXJÖ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40915-2023</t>
        </is>
      </c>
      <c r="B1204" s="1" t="n">
        <v>45173</v>
      </c>
      <c r="C1204" s="1" t="n">
        <v>45791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40993-2023</t>
        </is>
      </c>
      <c r="B1205" s="1" t="n">
        <v>45173</v>
      </c>
      <c r="C1205" s="1" t="n">
        <v>45791</v>
      </c>
      <c r="D1205" t="inlineStr">
        <is>
          <t>KRONOBERGS LÄN</t>
        </is>
      </c>
      <c r="E1205" t="inlineStr">
        <is>
          <t>VÄXJÖ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41574-2023</t>
        </is>
      </c>
      <c r="B1206" s="1" t="n">
        <v>45175</v>
      </c>
      <c r="C1206" s="1" t="n">
        <v>45791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41573-2023</t>
        </is>
      </c>
      <c r="B1207" s="1" t="n">
        <v>45175</v>
      </c>
      <c r="C1207" s="1" t="n">
        <v>45791</v>
      </c>
      <c r="D1207" t="inlineStr">
        <is>
          <t>KRONOBERGS LÄN</t>
        </is>
      </c>
      <c r="E1207" t="inlineStr">
        <is>
          <t>VÄXJÖ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41576-2023</t>
        </is>
      </c>
      <c r="B1208" s="1" t="n">
        <v>45175</v>
      </c>
      <c r="C1208" s="1" t="n">
        <v>45791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41756-2023</t>
        </is>
      </c>
      <c r="B1209" s="1" t="n">
        <v>45176</v>
      </c>
      <c r="C1209" s="1" t="n">
        <v>45791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41826-2023</t>
        </is>
      </c>
      <c r="B1210" s="1" t="n">
        <v>45176</v>
      </c>
      <c r="C1210" s="1" t="n">
        <v>45791</v>
      </c>
      <c r="D1210" t="inlineStr">
        <is>
          <t>KRONOBERGS LÄN</t>
        </is>
      </c>
      <c r="E1210" t="inlineStr">
        <is>
          <t>VÄXJÖ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41725-2023</t>
        </is>
      </c>
      <c r="B1211" s="1" t="n">
        <v>45176</v>
      </c>
      <c r="C1211" s="1" t="n">
        <v>45791</v>
      </c>
      <c r="D1211" t="inlineStr">
        <is>
          <t>KRONOBERGS LÄN</t>
        </is>
      </c>
      <c r="E1211" t="inlineStr">
        <is>
          <t>VÄXJÖ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41762-2023</t>
        </is>
      </c>
      <c r="B1212" s="1" t="n">
        <v>45176</v>
      </c>
      <c r="C1212" s="1" t="n">
        <v>45791</v>
      </c>
      <c r="D1212" t="inlineStr">
        <is>
          <t>KRONOBERGS LÄN</t>
        </is>
      </c>
      <c r="E1212" t="inlineStr">
        <is>
          <t>VÄXJÖ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41764-2023</t>
        </is>
      </c>
      <c r="B1213" s="1" t="n">
        <v>45176</v>
      </c>
      <c r="C1213" s="1" t="n">
        <v>45791</v>
      </c>
      <c r="D1213" t="inlineStr">
        <is>
          <t>KRONOBERGS LÄN</t>
        </is>
      </c>
      <c r="E1213" t="inlineStr">
        <is>
          <t>VÄXJÖ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41763-2023</t>
        </is>
      </c>
      <c r="B1214" s="1" t="n">
        <v>45176</v>
      </c>
      <c r="C1214" s="1" t="n">
        <v>45791</v>
      </c>
      <c r="D1214" t="inlineStr">
        <is>
          <t>KRONOBERGS LÄN</t>
        </is>
      </c>
      <c r="E1214" t="inlineStr">
        <is>
          <t>VÄXJÖ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41823-2023</t>
        </is>
      </c>
      <c r="B1215" s="1" t="n">
        <v>45176</v>
      </c>
      <c r="C1215" s="1" t="n">
        <v>45791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41827-2023</t>
        </is>
      </c>
      <c r="B1216" s="1" t="n">
        <v>45176</v>
      </c>
      <c r="C1216" s="1" t="n">
        <v>45791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42227-2023</t>
        </is>
      </c>
      <c r="B1217" s="1" t="n">
        <v>45180</v>
      </c>
      <c r="C1217" s="1" t="n">
        <v>45791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42404-2023</t>
        </is>
      </c>
      <c r="B1218" s="1" t="n">
        <v>45180</v>
      </c>
      <c r="C1218" s="1" t="n">
        <v>45791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42414-2023</t>
        </is>
      </c>
      <c r="B1219" s="1" t="n">
        <v>45180</v>
      </c>
      <c r="C1219" s="1" t="n">
        <v>45791</v>
      </c>
      <c r="D1219" t="inlineStr">
        <is>
          <t>KRONOBERGS LÄN</t>
        </is>
      </c>
      <c r="E1219" t="inlineStr">
        <is>
          <t>VÄXJÖ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42228-2023</t>
        </is>
      </c>
      <c r="B1220" s="1" t="n">
        <v>45180</v>
      </c>
      <c r="C1220" s="1" t="n">
        <v>45791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42296-2023</t>
        </is>
      </c>
      <c r="B1221" s="1" t="n">
        <v>45180</v>
      </c>
      <c r="C1221" s="1" t="n">
        <v>45791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42413-2023</t>
        </is>
      </c>
      <c r="B1222" s="1" t="n">
        <v>45180</v>
      </c>
      <c r="C1222" s="1" t="n">
        <v>45791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42406-2023</t>
        </is>
      </c>
      <c r="B1223" s="1" t="n">
        <v>45180</v>
      </c>
      <c r="C1223" s="1" t="n">
        <v>45791</v>
      </c>
      <c r="D1223" t="inlineStr">
        <is>
          <t>KRONOBERGS LÄN</t>
        </is>
      </c>
      <c r="E1223" t="inlineStr">
        <is>
          <t>VÄXJÖ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42705-2023</t>
        </is>
      </c>
      <c r="B1224" s="1" t="n">
        <v>45181</v>
      </c>
      <c r="C1224" s="1" t="n">
        <v>45791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42709-2023</t>
        </is>
      </c>
      <c r="B1225" s="1" t="n">
        <v>45181</v>
      </c>
      <c r="C1225" s="1" t="n">
        <v>45791</v>
      </c>
      <c r="D1225" t="inlineStr">
        <is>
          <t>KRONOBERGS LÄN</t>
        </is>
      </c>
      <c r="E1225" t="inlineStr">
        <is>
          <t>VÄXJÖ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42728-2023</t>
        </is>
      </c>
      <c r="B1226" s="1" t="n">
        <v>45181</v>
      </c>
      <c r="C1226" s="1" t="n">
        <v>45791</v>
      </c>
      <c r="D1226" t="inlineStr">
        <is>
          <t>KRONOBERGS LÄN</t>
        </is>
      </c>
      <c r="E1226" t="inlineStr">
        <is>
          <t>VÄXJÖ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42736-2023</t>
        </is>
      </c>
      <c r="B1227" s="1" t="n">
        <v>45181</v>
      </c>
      <c r="C1227" s="1" t="n">
        <v>45791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42759-2023</t>
        </is>
      </c>
      <c r="B1228" s="1" t="n">
        <v>45181</v>
      </c>
      <c r="C1228" s="1" t="n">
        <v>45791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42758-2023</t>
        </is>
      </c>
      <c r="B1229" s="1" t="n">
        <v>45181</v>
      </c>
      <c r="C1229" s="1" t="n">
        <v>45791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42763-2023</t>
        </is>
      </c>
      <c r="B1230" s="1" t="n">
        <v>45181</v>
      </c>
      <c r="C1230" s="1" t="n">
        <v>45791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42762-2023</t>
        </is>
      </c>
      <c r="B1231" s="1" t="n">
        <v>45181</v>
      </c>
      <c r="C1231" s="1" t="n">
        <v>45791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42884-2023</t>
        </is>
      </c>
      <c r="B1232" s="1" t="n">
        <v>45182</v>
      </c>
      <c r="C1232" s="1" t="n">
        <v>45791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42981-2023</t>
        </is>
      </c>
      <c r="B1233" s="1" t="n">
        <v>45182</v>
      </c>
      <c r="C1233" s="1" t="n">
        <v>45791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43279-2023</t>
        </is>
      </c>
      <c r="B1234" s="1" t="n">
        <v>45183</v>
      </c>
      <c r="C1234" s="1" t="n">
        <v>45791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44141-2023</t>
        </is>
      </c>
      <c r="B1235" s="1" t="n">
        <v>45188</v>
      </c>
      <c r="C1235" s="1" t="n">
        <v>45791</v>
      </c>
      <c r="D1235" t="inlineStr">
        <is>
          <t>KRONOBERGS LÄN</t>
        </is>
      </c>
      <c r="E1235" t="inlineStr">
        <is>
          <t>VÄXJÖ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44663-2023</t>
        </is>
      </c>
      <c r="B1236" s="1" t="n">
        <v>45189</v>
      </c>
      <c r="C1236" s="1" t="n">
        <v>45791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46018-2023</t>
        </is>
      </c>
      <c r="B1237" s="1" t="n">
        <v>45189</v>
      </c>
      <c r="C1237" s="1" t="n">
        <v>45791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44661-2023</t>
        </is>
      </c>
      <c r="B1238" s="1" t="n">
        <v>45189</v>
      </c>
      <c r="C1238" s="1" t="n">
        <v>45791</v>
      </c>
      <c r="D1238" t="inlineStr">
        <is>
          <t>KRONOBERGS LÄN</t>
        </is>
      </c>
      <c r="E1238" t="inlineStr">
        <is>
          <t>VÄXJÖ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44736-2023</t>
        </is>
      </c>
      <c r="B1239" s="1" t="n">
        <v>45190</v>
      </c>
      <c r="C1239" s="1" t="n">
        <v>45791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44737-2023</t>
        </is>
      </c>
      <c r="B1240" s="1" t="n">
        <v>45190</v>
      </c>
      <c r="C1240" s="1" t="n">
        <v>45791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44850-2023</t>
        </is>
      </c>
      <c r="B1241" s="1" t="n">
        <v>45190</v>
      </c>
      <c r="C1241" s="1" t="n">
        <v>45791</v>
      </c>
      <c r="D1241" t="inlineStr">
        <is>
          <t>KRONOBERGS LÄN</t>
        </is>
      </c>
      <c r="E1241" t="inlineStr">
        <is>
          <t>VÄXJÖ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44810-2023</t>
        </is>
      </c>
      <c r="B1242" s="1" t="n">
        <v>45190</v>
      </c>
      <c r="C1242" s="1" t="n">
        <v>45791</v>
      </c>
      <c r="D1242" t="inlineStr">
        <is>
          <t>KRONOBERGS LÄN</t>
        </is>
      </c>
      <c r="E1242" t="inlineStr">
        <is>
          <t>VÄXJÖ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44860-2023</t>
        </is>
      </c>
      <c r="B1243" s="1" t="n">
        <v>45190</v>
      </c>
      <c r="C1243" s="1" t="n">
        <v>45791</v>
      </c>
      <c r="D1243" t="inlineStr">
        <is>
          <t>KRONOBERGS LÄN</t>
        </is>
      </c>
      <c r="E1243" t="inlineStr">
        <is>
          <t>VÄXJÖ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44923-2023</t>
        </is>
      </c>
      <c r="B1244" s="1" t="n">
        <v>45190</v>
      </c>
      <c r="C1244" s="1" t="n">
        <v>45791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46043-2023</t>
        </is>
      </c>
      <c r="B1245" s="1" t="n">
        <v>45190</v>
      </c>
      <c r="C1245" s="1" t="n">
        <v>45791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45059-2023</t>
        </is>
      </c>
      <c r="B1246" s="1" t="n">
        <v>45191</v>
      </c>
      <c r="C1246" s="1" t="n">
        <v>45791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45247-2023</t>
        </is>
      </c>
      <c r="B1247" s="1" t="n">
        <v>45191</v>
      </c>
      <c r="C1247" s="1" t="n">
        <v>45791</v>
      </c>
      <c r="D1247" t="inlineStr">
        <is>
          <t>KRONOBERGS LÄN</t>
        </is>
      </c>
      <c r="E1247" t="inlineStr">
        <is>
          <t>VÄXJÖ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45061-2023</t>
        </is>
      </c>
      <c r="B1248" s="1" t="n">
        <v>45191</v>
      </c>
      <c r="C1248" s="1" t="n">
        <v>45791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45445-2023</t>
        </is>
      </c>
      <c r="B1249" s="1" t="n">
        <v>45194</v>
      </c>
      <c r="C1249" s="1" t="n">
        <v>45791</v>
      </c>
      <c r="D1249" t="inlineStr">
        <is>
          <t>KRONOBERGS LÄN</t>
        </is>
      </c>
      <c r="E1249" t="inlineStr">
        <is>
          <t>VÄXJÖ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45509-2023</t>
        </is>
      </c>
      <c r="B1250" s="1" t="n">
        <v>45194</v>
      </c>
      <c r="C1250" s="1" t="n">
        <v>45791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46576-2023</t>
        </is>
      </c>
      <c r="B1251" s="1" t="n">
        <v>45194</v>
      </c>
      <c r="C1251" s="1" t="n">
        <v>45791</v>
      </c>
      <c r="D1251" t="inlineStr">
        <is>
          <t>KRONOBERGS LÄN</t>
        </is>
      </c>
      <c r="E1251" t="inlineStr">
        <is>
          <t>VÄXJÖ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45514-2023</t>
        </is>
      </c>
      <c r="B1252" s="1" t="n">
        <v>45194</v>
      </c>
      <c r="C1252" s="1" t="n">
        <v>45791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46585-2023</t>
        </is>
      </c>
      <c r="B1253" s="1" t="n">
        <v>45194</v>
      </c>
      <c r="C1253" s="1" t="n">
        <v>45791</v>
      </c>
      <c r="D1253" t="inlineStr">
        <is>
          <t>KRONOBERGS LÄN</t>
        </is>
      </c>
      <c r="E1253" t="inlineStr">
        <is>
          <t>VÄXJÖ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46565-2023</t>
        </is>
      </c>
      <c r="B1254" s="1" t="n">
        <v>45198</v>
      </c>
      <c r="C1254" s="1" t="n">
        <v>45791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47868-2023</t>
        </is>
      </c>
      <c r="B1255" s="1" t="n">
        <v>45198</v>
      </c>
      <c r="C1255" s="1" t="n">
        <v>45791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46830-2023</t>
        </is>
      </c>
      <c r="B1256" s="1" t="n">
        <v>45199</v>
      </c>
      <c r="C1256" s="1" t="n">
        <v>45791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47088-2023</t>
        </is>
      </c>
      <c r="B1257" s="1" t="n">
        <v>45201</v>
      </c>
      <c r="C1257" s="1" t="n">
        <v>45791</v>
      </c>
      <c r="D1257" t="inlineStr">
        <is>
          <t>KRONOBERGS LÄN</t>
        </is>
      </c>
      <c r="E1257" t="inlineStr">
        <is>
          <t>VÄXJÖ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47213-2023</t>
        </is>
      </c>
      <c r="B1258" s="1" t="n">
        <v>45202</v>
      </c>
      <c r="C1258" s="1" t="n">
        <v>45791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47272-2023</t>
        </is>
      </c>
      <c r="B1259" s="1" t="n">
        <v>45202</v>
      </c>
      <c r="C1259" s="1" t="n">
        <v>45791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47748-2023</t>
        </is>
      </c>
      <c r="B1260" s="1" t="n">
        <v>45203</v>
      </c>
      <c r="C1260" s="1" t="n">
        <v>45791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47847-2023</t>
        </is>
      </c>
      <c r="B1261" s="1" t="n">
        <v>45204</v>
      </c>
      <c r="C1261" s="1" t="n">
        <v>45791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47831-2023</t>
        </is>
      </c>
      <c r="B1262" s="1" t="n">
        <v>45204</v>
      </c>
      <c r="C1262" s="1" t="n">
        <v>45791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48860-2023</t>
        </is>
      </c>
      <c r="B1263" s="1" t="n">
        <v>45204</v>
      </c>
      <c r="C1263" s="1" t="n">
        <v>45791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48228-2023</t>
        </is>
      </c>
      <c r="B1264" s="1" t="n">
        <v>45205</v>
      </c>
      <c r="C1264" s="1" t="n">
        <v>45791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49068-2023</t>
        </is>
      </c>
      <c r="B1265" s="1" t="n">
        <v>45210</v>
      </c>
      <c r="C1265" s="1" t="n">
        <v>45791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49196-2023</t>
        </is>
      </c>
      <c r="B1266" s="1" t="n">
        <v>45210</v>
      </c>
      <c r="C1266" s="1" t="n">
        <v>45791</v>
      </c>
      <c r="D1266" t="inlineStr">
        <is>
          <t>KRONOBERGS LÄN</t>
        </is>
      </c>
      <c r="E1266" t="inlineStr">
        <is>
          <t>VÄXJÖ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49263-2023</t>
        </is>
      </c>
      <c r="B1267" s="1" t="n">
        <v>45210</v>
      </c>
      <c r="C1267" s="1" t="n">
        <v>45791</v>
      </c>
      <c r="D1267" t="inlineStr">
        <is>
          <t>KRONOBERGS LÄN</t>
        </is>
      </c>
      <c r="E1267" t="inlineStr">
        <is>
          <t>VÄXJÖ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49267-2023</t>
        </is>
      </c>
      <c r="B1268" s="1" t="n">
        <v>45210</v>
      </c>
      <c r="C1268" s="1" t="n">
        <v>45791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49619-2023</t>
        </is>
      </c>
      <c r="B1269" s="1" t="n">
        <v>45211</v>
      </c>
      <c r="C1269" s="1" t="n">
        <v>45791</v>
      </c>
      <c r="D1269" t="inlineStr">
        <is>
          <t>KRONOBERGS LÄN</t>
        </is>
      </c>
      <c r="E1269" t="inlineStr">
        <is>
          <t>VÄXJÖ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49620-2023</t>
        </is>
      </c>
      <c r="B1270" s="1" t="n">
        <v>45211</v>
      </c>
      <c r="C1270" s="1" t="n">
        <v>45791</v>
      </c>
      <c r="D1270" t="inlineStr">
        <is>
          <t>KRONOBERGS LÄN</t>
        </is>
      </c>
      <c r="E1270" t="inlineStr">
        <is>
          <t>VÄXJÖ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49961-2023</t>
        </is>
      </c>
      <c r="B1271" s="1" t="n">
        <v>45215</v>
      </c>
      <c r="C1271" s="1" t="n">
        <v>45791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49972-2023</t>
        </is>
      </c>
      <c r="B1272" s="1" t="n">
        <v>45215</v>
      </c>
      <c r="C1272" s="1" t="n">
        <v>45791</v>
      </c>
      <c r="D1272" t="inlineStr">
        <is>
          <t>KRONOBERGS LÄN</t>
        </is>
      </c>
      <c r="E1272" t="inlineStr">
        <is>
          <t>VÄXJÖ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50438-2023</t>
        </is>
      </c>
      <c r="B1273" s="1" t="n">
        <v>45216</v>
      </c>
      <c r="C1273" s="1" t="n">
        <v>45791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50643-2023</t>
        </is>
      </c>
      <c r="B1274" s="1" t="n">
        <v>45217</v>
      </c>
      <c r="C1274" s="1" t="n">
        <v>45791</v>
      </c>
      <c r="D1274" t="inlineStr">
        <is>
          <t>KRONOBERGS LÄN</t>
        </is>
      </c>
      <c r="E1274" t="inlineStr">
        <is>
          <t>VÄXJÖ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51196-2023</t>
        </is>
      </c>
      <c r="B1275" s="1" t="n">
        <v>45219</v>
      </c>
      <c r="C1275" s="1" t="n">
        <v>45791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51224-2023</t>
        </is>
      </c>
      <c r="B1276" s="1" t="n">
        <v>45219</v>
      </c>
      <c r="C1276" s="1" t="n">
        <v>45791</v>
      </c>
      <c r="D1276" t="inlineStr">
        <is>
          <t>KRONOBERGS LÄN</t>
        </is>
      </c>
      <c r="E1276" t="inlineStr">
        <is>
          <t>VÄXJÖ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51416-2023</t>
        </is>
      </c>
      <c r="B1277" s="1" t="n">
        <v>45219</v>
      </c>
      <c r="C1277" s="1" t="n">
        <v>45791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51394-2023</t>
        </is>
      </c>
      <c r="B1278" s="1" t="n">
        <v>45219</v>
      </c>
      <c r="C1278" s="1" t="n">
        <v>45791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51190-2023</t>
        </is>
      </c>
      <c r="B1279" s="1" t="n">
        <v>45219</v>
      </c>
      <c r="C1279" s="1" t="n">
        <v>45791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51659-2023</t>
        </is>
      </c>
      <c r="B1280" s="1" t="n">
        <v>45222</v>
      </c>
      <c r="C1280" s="1" t="n">
        <v>45791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51662-2023</t>
        </is>
      </c>
      <c r="B1281" s="1" t="n">
        <v>45222</v>
      </c>
      <c r="C1281" s="1" t="n">
        <v>45791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52996-2023</t>
        </is>
      </c>
      <c r="B1282" s="1" t="n">
        <v>45222</v>
      </c>
      <c r="C1282" s="1" t="n">
        <v>45791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52167-2023</t>
        </is>
      </c>
      <c r="B1283" s="1" t="n">
        <v>45224</v>
      </c>
      <c r="C1283" s="1" t="n">
        <v>45791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52281-2023</t>
        </is>
      </c>
      <c r="B1284" s="1" t="n">
        <v>45224</v>
      </c>
      <c r="C1284" s="1" t="n">
        <v>45791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53844-2023</t>
        </is>
      </c>
      <c r="B1285" s="1" t="n">
        <v>45224</v>
      </c>
      <c r="C1285" s="1" t="n">
        <v>45791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53841-2023</t>
        </is>
      </c>
      <c r="B1286" s="1" t="n">
        <v>45224</v>
      </c>
      <c r="C1286" s="1" t="n">
        <v>45791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52564-2023</t>
        </is>
      </c>
      <c r="B1287" s="1" t="n">
        <v>45225</v>
      </c>
      <c r="C1287" s="1" t="n">
        <v>45791</v>
      </c>
      <c r="D1287" t="inlineStr">
        <is>
          <t>KRONOBERGS LÄN</t>
        </is>
      </c>
      <c r="E1287" t="inlineStr">
        <is>
          <t>VÄXJÖ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52568-2023</t>
        </is>
      </c>
      <c r="B1288" s="1" t="n">
        <v>45225</v>
      </c>
      <c r="C1288" s="1" t="n">
        <v>45791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53240-2023</t>
        </is>
      </c>
      <c r="B1289" s="1" t="n">
        <v>45229</v>
      </c>
      <c r="C1289" s="1" t="n">
        <v>45791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53243-2023</t>
        </is>
      </c>
      <c r="B1290" s="1" t="n">
        <v>45229</v>
      </c>
      <c r="C1290" s="1" t="n">
        <v>45791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53727-2023</t>
        </is>
      </c>
      <c r="B1291" s="1" t="n">
        <v>45230</v>
      </c>
      <c r="C1291" s="1" t="n">
        <v>45791</v>
      </c>
      <c r="D1291" t="inlineStr">
        <is>
          <t>KRONOBERGS LÄN</t>
        </is>
      </c>
      <c r="E1291" t="inlineStr">
        <is>
          <t>VÄXJÖ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55098-2023</t>
        </is>
      </c>
      <c r="B1292" s="1" t="n">
        <v>45230</v>
      </c>
      <c r="C1292" s="1" t="n">
        <v>45791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53575-2023</t>
        </is>
      </c>
      <c r="B1293" s="1" t="n">
        <v>45230</v>
      </c>
      <c r="C1293" s="1" t="n">
        <v>45791</v>
      </c>
      <c r="D1293" t="inlineStr">
        <is>
          <t>KRONOBERGS LÄN</t>
        </is>
      </c>
      <c r="E1293" t="inlineStr">
        <is>
          <t>VÄXJÖ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53713-2023</t>
        </is>
      </c>
      <c r="B1294" s="1" t="n">
        <v>45230</v>
      </c>
      <c r="C1294" s="1" t="n">
        <v>45791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55084-2023</t>
        </is>
      </c>
      <c r="B1295" s="1" t="n">
        <v>45230</v>
      </c>
      <c r="C1295" s="1" t="n">
        <v>45791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53710-2023</t>
        </is>
      </c>
      <c r="B1296" s="1" t="n">
        <v>45230</v>
      </c>
      <c r="C1296" s="1" t="n">
        <v>45791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53574-2023</t>
        </is>
      </c>
      <c r="B1297" s="1" t="n">
        <v>45230</v>
      </c>
      <c r="C1297" s="1" t="n">
        <v>45791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55121-2023</t>
        </is>
      </c>
      <c r="B1298" s="1" t="n">
        <v>45230</v>
      </c>
      <c r="C1298" s="1" t="n">
        <v>45791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54117-2023</t>
        </is>
      </c>
      <c r="B1299" s="1" t="n">
        <v>45232</v>
      </c>
      <c r="C1299" s="1" t="n">
        <v>45791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54151-2023</t>
        </is>
      </c>
      <c r="B1300" s="1" t="n">
        <v>45232</v>
      </c>
      <c r="C1300" s="1" t="n">
        <v>45791</v>
      </c>
      <c r="D1300" t="inlineStr">
        <is>
          <t>KRONOBERGS LÄN</t>
        </is>
      </c>
      <c r="E1300" t="inlineStr">
        <is>
          <t>VÄXJÖ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54256-2023</t>
        </is>
      </c>
      <c r="B1301" s="1" t="n">
        <v>45232</v>
      </c>
      <c r="C1301" s="1" t="n">
        <v>45791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56050-2023</t>
        </is>
      </c>
      <c r="B1302" s="1" t="n">
        <v>45233</v>
      </c>
      <c r="C1302" s="1" t="n">
        <v>45791</v>
      </c>
      <c r="D1302" t="inlineStr">
        <is>
          <t>KRONOBERGS LÄN</t>
        </is>
      </c>
      <c r="E1302" t="inlineStr">
        <is>
          <t>VÄXJÖ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54397-2023</t>
        </is>
      </c>
      <c r="B1303" s="1" t="n">
        <v>45233</v>
      </c>
      <c r="C1303" s="1" t="n">
        <v>45791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54757-2023</t>
        </is>
      </c>
      <c r="B1304" s="1" t="n">
        <v>45236</v>
      </c>
      <c r="C1304" s="1" t="n">
        <v>45791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54767-2023</t>
        </is>
      </c>
      <c r="B1305" s="1" t="n">
        <v>45236</v>
      </c>
      <c r="C1305" s="1" t="n">
        <v>45791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54872-2023</t>
        </is>
      </c>
      <c r="B1306" s="1" t="n">
        <v>45236</v>
      </c>
      <c r="C1306" s="1" t="n">
        <v>45791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54888-2023</t>
        </is>
      </c>
      <c r="B1307" s="1" t="n">
        <v>45236</v>
      </c>
      <c r="C1307" s="1" t="n">
        <v>45791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54759-2023</t>
        </is>
      </c>
      <c r="B1308" s="1" t="n">
        <v>45236</v>
      </c>
      <c r="C1308" s="1" t="n">
        <v>45791</v>
      </c>
      <c r="D1308" t="inlineStr">
        <is>
          <t>KRONOBERGS LÄN</t>
        </is>
      </c>
      <c r="E1308" t="inlineStr">
        <is>
          <t>VÄXJÖ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54892-2023</t>
        </is>
      </c>
      <c r="B1309" s="1" t="n">
        <v>45236</v>
      </c>
      <c r="C1309" s="1" t="n">
        <v>45791</v>
      </c>
      <c r="D1309" t="inlineStr">
        <is>
          <t>KRONOBERGS LÄN</t>
        </is>
      </c>
      <c r="E1309" t="inlineStr">
        <is>
          <t>VÄXJÖ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54866-2023</t>
        </is>
      </c>
      <c r="B1310" s="1" t="n">
        <v>45236</v>
      </c>
      <c r="C1310" s="1" t="n">
        <v>45791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55194-2023</t>
        </is>
      </c>
      <c r="B1311" s="1" t="n">
        <v>45237</v>
      </c>
      <c r="C1311" s="1" t="n">
        <v>45791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55450-2023</t>
        </is>
      </c>
      <c r="B1312" s="1" t="n">
        <v>45238</v>
      </c>
      <c r="C1312" s="1" t="n">
        <v>45791</v>
      </c>
      <c r="D1312" t="inlineStr">
        <is>
          <t>KRONOBERGS LÄN</t>
        </is>
      </c>
      <c r="E1312" t="inlineStr">
        <is>
          <t>VÄXJÖ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55782-2023</t>
        </is>
      </c>
      <c r="B1313" s="1" t="n">
        <v>45239</v>
      </c>
      <c r="C1313" s="1" t="n">
        <v>45791</v>
      </c>
      <c r="D1313" t="inlineStr">
        <is>
          <t>KRONOBERGS LÄN</t>
        </is>
      </c>
      <c r="E1313" t="inlineStr">
        <is>
          <t>VÄXJÖ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45791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56169-2023</t>
        </is>
      </c>
      <c r="B1315" s="1" t="n">
        <v>45240</v>
      </c>
      <c r="C1315" s="1" t="n">
        <v>45791</v>
      </c>
      <c r="D1315" t="inlineStr">
        <is>
          <t>KRONOBERGS LÄN</t>
        </is>
      </c>
      <c r="E1315" t="inlineStr">
        <is>
          <t>VÄXJÖ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56172-2023</t>
        </is>
      </c>
      <c r="B1316" s="1" t="n">
        <v>45240</v>
      </c>
      <c r="C1316" s="1" t="n">
        <v>45791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56606-2023</t>
        </is>
      </c>
      <c r="B1317" s="1" t="n">
        <v>45243</v>
      </c>
      <c r="C1317" s="1" t="n">
        <v>45791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56947-2023</t>
        </is>
      </c>
      <c r="B1318" s="1" t="n">
        <v>45244</v>
      </c>
      <c r="C1318" s="1" t="n">
        <v>45791</v>
      </c>
      <c r="D1318" t="inlineStr">
        <is>
          <t>KRONOBERGS LÄN</t>
        </is>
      </c>
      <c r="E1318" t="inlineStr">
        <is>
          <t>VÄXJÖ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56989-2023</t>
        </is>
      </c>
      <c r="B1319" s="1" t="n">
        <v>45244</v>
      </c>
      <c r="C1319" s="1" t="n">
        <v>45791</v>
      </c>
      <c r="D1319" t="inlineStr">
        <is>
          <t>KRONOBERGS LÄN</t>
        </is>
      </c>
      <c r="E1319" t="inlineStr">
        <is>
          <t>VÄXJÖ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57022-2023</t>
        </is>
      </c>
      <c r="B1320" s="1" t="n">
        <v>45244</v>
      </c>
      <c r="C1320" s="1" t="n">
        <v>45791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57034-2023</t>
        </is>
      </c>
      <c r="B1321" s="1" t="n">
        <v>45244</v>
      </c>
      <c r="C1321" s="1" t="n">
        <v>45791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57023-2023</t>
        </is>
      </c>
      <c r="B1322" s="1" t="n">
        <v>45244</v>
      </c>
      <c r="C1322" s="1" t="n">
        <v>45791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57024-2023</t>
        </is>
      </c>
      <c r="B1323" s="1" t="n">
        <v>45244</v>
      </c>
      <c r="C1323" s="1" t="n">
        <v>45791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57021-2023</t>
        </is>
      </c>
      <c r="B1324" s="1" t="n">
        <v>45244</v>
      </c>
      <c r="C1324" s="1" t="n">
        <v>45791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57037-2023</t>
        </is>
      </c>
      <c r="B1325" s="1" t="n">
        <v>45244</v>
      </c>
      <c r="C1325" s="1" t="n">
        <v>45791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57041-2023</t>
        </is>
      </c>
      <c r="B1326" s="1" t="n">
        <v>45244</v>
      </c>
      <c r="C1326" s="1" t="n">
        <v>45791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57159-2023</t>
        </is>
      </c>
      <c r="B1327" s="1" t="n">
        <v>45245</v>
      </c>
      <c r="C1327" s="1" t="n">
        <v>45791</v>
      </c>
      <c r="D1327" t="inlineStr">
        <is>
          <t>KRONOBERGS LÄN</t>
        </is>
      </c>
      <c r="E1327" t="inlineStr">
        <is>
          <t>VÄXJÖ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57444-2023</t>
        </is>
      </c>
      <c r="B1328" s="1" t="n">
        <v>45246</v>
      </c>
      <c r="C1328" s="1" t="n">
        <v>45791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57830-2023</t>
        </is>
      </c>
      <c r="B1329" s="1" t="n">
        <v>45247</v>
      </c>
      <c r="C1329" s="1" t="n">
        <v>45791</v>
      </c>
      <c r="D1329" t="inlineStr">
        <is>
          <t>KRONOBERGS LÄN</t>
        </is>
      </c>
      <c r="E1329" t="inlineStr">
        <is>
          <t>VÄXJÖ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58046-2023</t>
        </is>
      </c>
      <c r="B1330" s="1" t="n">
        <v>45247</v>
      </c>
      <c r="C1330" s="1" t="n">
        <v>45791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58054-2023</t>
        </is>
      </c>
      <c r="B1331" s="1" t="n">
        <v>45247</v>
      </c>
      <c r="C1331" s="1" t="n">
        <v>45791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58118-2023</t>
        </is>
      </c>
      <c r="B1332" s="1" t="n">
        <v>45249</v>
      </c>
      <c r="C1332" s="1" t="n">
        <v>45791</v>
      </c>
      <c r="D1332" t="inlineStr">
        <is>
          <t>KRONOBERGS LÄN</t>
        </is>
      </c>
      <c r="E1332" t="inlineStr">
        <is>
          <t>VÄXJÖ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58177-2023</t>
        </is>
      </c>
      <c r="B1333" s="1" t="n">
        <v>45250</v>
      </c>
      <c r="C1333" s="1" t="n">
        <v>45791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58181-2023</t>
        </is>
      </c>
      <c r="B1334" s="1" t="n">
        <v>45250</v>
      </c>
      <c r="C1334" s="1" t="n">
        <v>45791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58195-2023</t>
        </is>
      </c>
      <c r="B1335" s="1" t="n">
        <v>45250</v>
      </c>
      <c r="C1335" s="1" t="n">
        <v>45791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58180-2023</t>
        </is>
      </c>
      <c r="B1336" s="1" t="n">
        <v>45250</v>
      </c>
      <c r="C1336" s="1" t="n">
        <v>45791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58134-2023</t>
        </is>
      </c>
      <c r="B1337" s="1" t="n">
        <v>45250</v>
      </c>
      <c r="C1337" s="1" t="n">
        <v>45791</v>
      </c>
      <c r="D1337" t="inlineStr">
        <is>
          <t>KRONOBERGS LÄN</t>
        </is>
      </c>
      <c r="E1337" t="inlineStr">
        <is>
          <t>VÄXJÖ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59294-2023</t>
        </is>
      </c>
      <c r="B1338" s="1" t="n">
        <v>45253</v>
      </c>
      <c r="C1338" s="1" t="n">
        <v>45791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59298-2023</t>
        </is>
      </c>
      <c r="B1339" s="1" t="n">
        <v>45253</v>
      </c>
      <c r="C1339" s="1" t="n">
        <v>45791</v>
      </c>
      <c r="D1339" t="inlineStr">
        <is>
          <t>KRONOBERGS LÄN</t>
        </is>
      </c>
      <c r="E1339" t="inlineStr">
        <is>
          <t>VÄXJÖ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59568-2023</t>
        </is>
      </c>
      <c r="B1340" s="1" t="n">
        <v>45254</v>
      </c>
      <c r="C1340" s="1" t="n">
        <v>45791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60411-2023</t>
        </is>
      </c>
      <c r="B1341" s="1" t="n">
        <v>45259</v>
      </c>
      <c r="C1341" s="1" t="n">
        <v>45791</v>
      </c>
      <c r="D1341" t="inlineStr">
        <is>
          <t>KRONOBERGS LÄN</t>
        </is>
      </c>
      <c r="E1341" t="inlineStr">
        <is>
          <t>VÄXJÖ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60474-2023</t>
        </is>
      </c>
      <c r="B1342" s="1" t="n">
        <v>45259</v>
      </c>
      <c r="C1342" s="1" t="n">
        <v>45791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60621-2023</t>
        </is>
      </c>
      <c r="B1343" s="1" t="n">
        <v>45260</v>
      </c>
      <c r="C1343" s="1" t="n">
        <v>45791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61832-2023</t>
        </is>
      </c>
      <c r="B1344" s="1" t="n">
        <v>45266</v>
      </c>
      <c r="C1344" s="1" t="n">
        <v>45791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62123-2023</t>
        </is>
      </c>
      <c r="B1345" s="1" t="n">
        <v>45267</v>
      </c>
      <c r="C1345" s="1" t="n">
        <v>45791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62248-2023</t>
        </is>
      </c>
      <c r="B1346" s="1" t="n">
        <v>45267</v>
      </c>
      <c r="C1346" s="1" t="n">
        <v>45791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62122-2023</t>
        </is>
      </c>
      <c r="B1347" s="1" t="n">
        <v>45267</v>
      </c>
      <c r="C1347" s="1" t="n">
        <v>45791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62242-2023</t>
        </is>
      </c>
      <c r="B1348" s="1" t="n">
        <v>45267</v>
      </c>
      <c r="C1348" s="1" t="n">
        <v>45791</v>
      </c>
      <c r="D1348" t="inlineStr">
        <is>
          <t>KRONOBERGS LÄN</t>
        </is>
      </c>
      <c r="E1348" t="inlineStr">
        <is>
          <t>VÄXJÖ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62247-2023</t>
        </is>
      </c>
      <c r="B1349" s="1" t="n">
        <v>45267</v>
      </c>
      <c r="C1349" s="1" t="n">
        <v>45791</v>
      </c>
      <c r="D1349" t="inlineStr">
        <is>
          <t>KRONOBERGS LÄN</t>
        </is>
      </c>
      <c r="E1349" t="inlineStr">
        <is>
          <t>VÄXJÖ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62244-2023</t>
        </is>
      </c>
      <c r="B1350" s="1" t="n">
        <v>45267</v>
      </c>
      <c r="C1350" s="1" t="n">
        <v>45791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63102-2023</t>
        </is>
      </c>
      <c r="B1351" s="1" t="n">
        <v>45273</v>
      </c>
      <c r="C1351" s="1" t="n">
        <v>45791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63245-2023</t>
        </is>
      </c>
      <c r="B1352" s="1" t="n">
        <v>45273</v>
      </c>
      <c r="C1352" s="1" t="n">
        <v>45791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63485-2023</t>
        </is>
      </c>
      <c r="B1353" s="1" t="n">
        <v>45274</v>
      </c>
      <c r="C1353" s="1" t="n">
        <v>45791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63730-2023</t>
        </is>
      </c>
      <c r="B1354" s="1" t="n">
        <v>45277</v>
      </c>
      <c r="C1354" s="1" t="n">
        <v>45791</v>
      </c>
      <c r="D1354" t="inlineStr">
        <is>
          <t>KRONOBERGS LÄN</t>
        </is>
      </c>
      <c r="E1354" t="inlineStr">
        <is>
          <t>VÄXJÖ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63846-2023</t>
        </is>
      </c>
      <c r="B1355" s="1" t="n">
        <v>45278</v>
      </c>
      <c r="C1355" s="1" t="n">
        <v>45791</v>
      </c>
      <c r="D1355" t="inlineStr">
        <is>
          <t>KRONOBERGS LÄN</t>
        </is>
      </c>
      <c r="E1355" t="inlineStr">
        <is>
          <t>VÄXJÖ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63902-2023</t>
        </is>
      </c>
      <c r="B1356" s="1" t="n">
        <v>45278</v>
      </c>
      <c r="C1356" s="1" t="n">
        <v>45791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63910-2023</t>
        </is>
      </c>
      <c r="B1357" s="1" t="n">
        <v>45278</v>
      </c>
      <c r="C1357" s="1" t="n">
        <v>45791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63963-2023</t>
        </is>
      </c>
      <c r="B1358" s="1" t="n">
        <v>45278</v>
      </c>
      <c r="C1358" s="1" t="n">
        <v>45791</v>
      </c>
      <c r="D1358" t="inlineStr">
        <is>
          <t>KRONOBERGS LÄN</t>
        </is>
      </c>
      <c r="E1358" t="inlineStr">
        <is>
          <t>VÄXJÖ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63928-2023</t>
        </is>
      </c>
      <c r="B1359" s="1" t="n">
        <v>45278</v>
      </c>
      <c r="C1359" s="1" t="n">
        <v>45791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64193-2023</t>
        </is>
      </c>
      <c r="B1360" s="1" t="n">
        <v>45279</v>
      </c>
      <c r="C1360" s="1" t="n">
        <v>45791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64147-2023</t>
        </is>
      </c>
      <c r="B1361" s="1" t="n">
        <v>45279</v>
      </c>
      <c r="C1361" s="1" t="n">
        <v>45791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64295-2023</t>
        </is>
      </c>
      <c r="B1362" s="1" t="n">
        <v>45280</v>
      </c>
      <c r="C1362" s="1" t="n">
        <v>45791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64278-2023</t>
        </is>
      </c>
      <c r="B1363" s="1" t="n">
        <v>45280</v>
      </c>
      <c r="C1363" s="1" t="n">
        <v>45791</v>
      </c>
      <c r="D1363" t="inlineStr">
        <is>
          <t>KRONOBERGS LÄN</t>
        </is>
      </c>
      <c r="E1363" t="inlineStr">
        <is>
          <t>VÄXJÖ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64292-2023</t>
        </is>
      </c>
      <c r="B1364" s="1" t="n">
        <v>45280</v>
      </c>
      <c r="C1364" s="1" t="n">
        <v>45791</v>
      </c>
      <c r="D1364" t="inlineStr">
        <is>
          <t>KRONOBERGS LÄN</t>
        </is>
      </c>
      <c r="E1364" t="inlineStr">
        <is>
          <t>VÄXJÖ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64603-2023</t>
        </is>
      </c>
      <c r="B1365" s="1" t="n">
        <v>45281</v>
      </c>
      <c r="C1365" s="1" t="n">
        <v>45791</v>
      </c>
      <c r="D1365" t="inlineStr">
        <is>
          <t>KRONOBERGS LÄN</t>
        </is>
      </c>
      <c r="E1365" t="inlineStr">
        <is>
          <t>VÄXJÖ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64685-2023</t>
        </is>
      </c>
      <c r="B1366" s="1" t="n">
        <v>45281</v>
      </c>
      <c r="C1366" s="1" t="n">
        <v>45791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64715-2023</t>
        </is>
      </c>
      <c r="B1367" s="1" t="n">
        <v>45281</v>
      </c>
      <c r="C1367" s="1" t="n">
        <v>45791</v>
      </c>
      <c r="D1367" t="inlineStr">
        <is>
          <t>KRONOBERGS LÄN</t>
        </is>
      </c>
      <c r="E1367" t="inlineStr">
        <is>
          <t>VÄXJÖ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65106-2023</t>
        </is>
      </c>
      <c r="B1368" s="1" t="n">
        <v>45288</v>
      </c>
      <c r="C1368" s="1" t="n">
        <v>45791</v>
      </c>
      <c r="D1368" t="inlineStr">
        <is>
          <t>KRONOBERGS LÄN</t>
        </is>
      </c>
      <c r="E1368" t="inlineStr">
        <is>
          <t>VÄXJÖ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65087-2023</t>
        </is>
      </c>
      <c r="B1369" s="1" t="n">
        <v>45288</v>
      </c>
      <c r="C1369" s="1" t="n">
        <v>45791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153-2024</t>
        </is>
      </c>
      <c r="B1370" s="1" t="n">
        <v>45294</v>
      </c>
      <c r="C1370" s="1" t="n">
        <v>45791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375-2024</t>
        </is>
      </c>
      <c r="B1371" s="1" t="n">
        <v>45296</v>
      </c>
      <c r="C1371" s="1" t="n">
        <v>45791</v>
      </c>
      <c r="D1371" t="inlineStr">
        <is>
          <t>KRONOBERGS LÄN</t>
        </is>
      </c>
      <c r="E1371" t="inlineStr">
        <is>
          <t>VÄXJÖ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373-2024</t>
        </is>
      </c>
      <c r="B1372" s="1" t="n">
        <v>45296</v>
      </c>
      <c r="C1372" s="1" t="n">
        <v>45791</v>
      </c>
      <c r="D1372" t="inlineStr">
        <is>
          <t>KRONOBERGS LÄN</t>
        </is>
      </c>
      <c r="E1372" t="inlineStr">
        <is>
          <t>VÄXJÖ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775-2024</t>
        </is>
      </c>
      <c r="B1373" s="1" t="n">
        <v>45300</v>
      </c>
      <c r="C1373" s="1" t="n">
        <v>45791</v>
      </c>
      <c r="D1373" t="inlineStr">
        <is>
          <t>KRONOBERGS LÄN</t>
        </is>
      </c>
      <c r="E1373" t="inlineStr">
        <is>
          <t>VÄXJÖ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783-2024</t>
        </is>
      </c>
      <c r="B1374" s="1" t="n">
        <v>45300</v>
      </c>
      <c r="C1374" s="1" t="n">
        <v>45791</v>
      </c>
      <c r="D1374" t="inlineStr">
        <is>
          <t>KRONOBERGS LÄN</t>
        </is>
      </c>
      <c r="E1374" t="inlineStr">
        <is>
          <t>VÄXJÖ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763-2024</t>
        </is>
      </c>
      <c r="B1375" s="1" t="n">
        <v>45300</v>
      </c>
      <c r="C1375" s="1" t="n">
        <v>45791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771-2024</t>
        </is>
      </c>
      <c r="B1376" s="1" t="n">
        <v>45300</v>
      </c>
      <c r="C1376" s="1" t="n">
        <v>45791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780-2024</t>
        </is>
      </c>
      <c r="B1377" s="1" t="n">
        <v>45300</v>
      </c>
      <c r="C1377" s="1" t="n">
        <v>45791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736-2024</t>
        </is>
      </c>
      <c r="B1378" s="1" t="n">
        <v>45300</v>
      </c>
      <c r="C1378" s="1" t="n">
        <v>45791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720-2024</t>
        </is>
      </c>
      <c r="B1379" s="1" t="n">
        <v>45300</v>
      </c>
      <c r="C1379" s="1" t="n">
        <v>45791</v>
      </c>
      <c r="D1379" t="inlineStr">
        <is>
          <t>KRONOBERGS LÄN</t>
        </is>
      </c>
      <c r="E1379" t="inlineStr">
        <is>
          <t>VÄXJÖ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865-2024</t>
        </is>
      </c>
      <c r="B1380" s="1" t="n">
        <v>45301</v>
      </c>
      <c r="C1380" s="1" t="n">
        <v>45791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864-2024</t>
        </is>
      </c>
      <c r="B1381" s="1" t="n">
        <v>45301</v>
      </c>
      <c r="C1381" s="1" t="n">
        <v>45791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1011-2024</t>
        </is>
      </c>
      <c r="B1382" s="1" t="n">
        <v>45301</v>
      </c>
      <c r="C1382" s="1" t="n">
        <v>45791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1239-2024</t>
        </is>
      </c>
      <c r="B1383" s="1" t="n">
        <v>45302</v>
      </c>
      <c r="C1383" s="1" t="n">
        <v>45791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</v>
      </c>
      <c r="C1384" s="1" t="n">
        <v>45791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1217-2024</t>
        </is>
      </c>
      <c r="B1385" s="1" t="n">
        <v>45302</v>
      </c>
      <c r="C1385" s="1" t="n">
        <v>45791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1234-2024</t>
        </is>
      </c>
      <c r="B1386" s="1" t="n">
        <v>45302</v>
      </c>
      <c r="C1386" s="1" t="n">
        <v>45791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1237-2024</t>
        </is>
      </c>
      <c r="B1387" s="1" t="n">
        <v>45302</v>
      </c>
      <c r="C1387" s="1" t="n">
        <v>45791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1252-2024</t>
        </is>
      </c>
      <c r="B1388" s="1" t="n">
        <v>45302</v>
      </c>
      <c r="C1388" s="1" t="n">
        <v>45791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1367-2024</t>
        </is>
      </c>
      <c r="B1389" s="1" t="n">
        <v>45303</v>
      </c>
      <c r="C1389" s="1" t="n">
        <v>45791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1439-2024</t>
        </is>
      </c>
      <c r="B1390" s="1" t="n">
        <v>45303</v>
      </c>
      <c r="C1390" s="1" t="n">
        <v>45791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1469-2024</t>
        </is>
      </c>
      <c r="B1391" s="1" t="n">
        <v>45304</v>
      </c>
      <c r="C1391" s="1" t="n">
        <v>45791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1470-2024</t>
        </is>
      </c>
      <c r="B1392" s="1" t="n">
        <v>45304</v>
      </c>
      <c r="C1392" s="1" t="n">
        <v>45791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1471-2024</t>
        </is>
      </c>
      <c r="B1393" s="1" t="n">
        <v>45304</v>
      </c>
      <c r="C1393" s="1" t="n">
        <v>45791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1764-2024</t>
        </is>
      </c>
      <c r="B1394" s="1" t="n">
        <v>45307</v>
      </c>
      <c r="C1394" s="1" t="n">
        <v>45791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2112-2024</t>
        </is>
      </c>
      <c r="B1395" s="1" t="n">
        <v>45309</v>
      </c>
      <c r="C1395" s="1" t="n">
        <v>45791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2092-2024</t>
        </is>
      </c>
      <c r="B1396" s="1" t="n">
        <v>45309</v>
      </c>
      <c r="C1396" s="1" t="n">
        <v>45791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2107-2024</t>
        </is>
      </c>
      <c r="B1397" s="1" t="n">
        <v>45309</v>
      </c>
      <c r="C1397" s="1" t="n">
        <v>45791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2115-2024</t>
        </is>
      </c>
      <c r="B1398" s="1" t="n">
        <v>45309</v>
      </c>
      <c r="C1398" s="1" t="n">
        <v>45791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2114-2024</t>
        </is>
      </c>
      <c r="B1399" s="1" t="n">
        <v>45309</v>
      </c>
      <c r="C1399" s="1" t="n">
        <v>45791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2119-2024</t>
        </is>
      </c>
      <c r="B1400" s="1" t="n">
        <v>45309</v>
      </c>
      <c r="C1400" s="1" t="n">
        <v>45791</v>
      </c>
      <c r="D1400" t="inlineStr">
        <is>
          <t>KRONOBERGS LÄN</t>
        </is>
      </c>
      <c r="E1400" t="inlineStr">
        <is>
          <t>VÄXJÖ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2304-2024</t>
        </is>
      </c>
      <c r="B1401" s="1" t="n">
        <v>45310</v>
      </c>
      <c r="C1401" s="1" t="n">
        <v>45791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2519-2024</t>
        </is>
      </c>
      <c r="B1402" s="1" t="n">
        <v>45313</v>
      </c>
      <c r="C1402" s="1" t="n">
        <v>45791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2797-2024</t>
        </is>
      </c>
      <c r="B1403" s="1" t="n">
        <v>45314</v>
      </c>
      <c r="C1403" s="1" t="n">
        <v>45791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2863-2024</t>
        </is>
      </c>
      <c r="B1404" s="1" t="n">
        <v>45315</v>
      </c>
      <c r="C1404" s="1" t="n">
        <v>45791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2914-2024</t>
        </is>
      </c>
      <c r="B1405" s="1" t="n">
        <v>45315</v>
      </c>
      <c r="C1405" s="1" t="n">
        <v>45791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2913-2024</t>
        </is>
      </c>
      <c r="B1406" s="1" t="n">
        <v>45315</v>
      </c>
      <c r="C1406" s="1" t="n">
        <v>45791</v>
      </c>
      <c r="D1406" t="inlineStr">
        <is>
          <t>KRONOBERGS LÄN</t>
        </is>
      </c>
      <c r="E1406" t="inlineStr">
        <is>
          <t>VÄXJÖ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2864-2024</t>
        </is>
      </c>
      <c r="B1407" s="1" t="n">
        <v>45315</v>
      </c>
      <c r="C1407" s="1" t="n">
        <v>45791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3070-2024</t>
        </is>
      </c>
      <c r="B1408" s="1" t="n">
        <v>45316</v>
      </c>
      <c r="C1408" s="1" t="n">
        <v>45791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3058-2024</t>
        </is>
      </c>
      <c r="B1409" s="1" t="n">
        <v>45316</v>
      </c>
      <c r="C1409" s="1" t="n">
        <v>45791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3067-2024</t>
        </is>
      </c>
      <c r="B1410" s="1" t="n">
        <v>45316</v>
      </c>
      <c r="C1410" s="1" t="n">
        <v>45791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3365-2024</t>
        </is>
      </c>
      <c r="B1411" s="1" t="n">
        <v>45317</v>
      </c>
      <c r="C1411" s="1" t="n">
        <v>45791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3535-2024</t>
        </is>
      </c>
      <c r="B1412" s="1" t="n">
        <v>45320</v>
      </c>
      <c r="C1412" s="1" t="n">
        <v>45791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3879-2024</t>
        </is>
      </c>
      <c r="B1413" s="1" t="n">
        <v>45322</v>
      </c>
      <c r="C1413" s="1" t="n">
        <v>45791</v>
      </c>
      <c r="D1413" t="inlineStr">
        <is>
          <t>KRONOBERGS LÄN</t>
        </is>
      </c>
      <c r="E1413" t="inlineStr">
        <is>
          <t>VÄXJÖ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4318-2024</t>
        </is>
      </c>
      <c r="B1414" s="1" t="n">
        <v>45324</v>
      </c>
      <c r="C1414" s="1" t="n">
        <v>45791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4320-2024</t>
        </is>
      </c>
      <c r="B1415" s="1" t="n">
        <v>45324</v>
      </c>
      <c r="C1415" s="1" t="n">
        <v>45791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4510-2024</t>
        </is>
      </c>
      <c r="B1416" s="1" t="n">
        <v>45327</v>
      </c>
      <c r="C1416" s="1" t="n">
        <v>45791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4654-2024</t>
        </is>
      </c>
      <c r="B1417" s="1" t="n">
        <v>45327</v>
      </c>
      <c r="C1417" s="1" t="n">
        <v>45791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4646-2024</t>
        </is>
      </c>
      <c r="B1418" s="1" t="n">
        <v>45328</v>
      </c>
      <c r="C1418" s="1" t="n">
        <v>45791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4653-2024</t>
        </is>
      </c>
      <c r="B1419" s="1" t="n">
        <v>45328</v>
      </c>
      <c r="C1419" s="1" t="n">
        <v>45791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5003-2024</t>
        </is>
      </c>
      <c r="B1420" s="1" t="n">
        <v>45329</v>
      </c>
      <c r="C1420" s="1" t="n">
        <v>45791</v>
      </c>
      <c r="D1420" t="inlineStr">
        <is>
          <t>KRONOBERGS LÄN</t>
        </is>
      </c>
      <c r="E1420" t="inlineStr">
        <is>
          <t>VÄXJÖ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5043-2024</t>
        </is>
      </c>
      <c r="B1421" s="1" t="n">
        <v>45329</v>
      </c>
      <c r="C1421" s="1" t="n">
        <v>45791</v>
      </c>
      <c r="D1421" t="inlineStr">
        <is>
          <t>KRONOBERGS LÄN</t>
        </is>
      </c>
      <c r="E1421" t="inlineStr">
        <is>
          <t>VÄXJÖ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5093-2024</t>
        </is>
      </c>
      <c r="B1422" s="1" t="n">
        <v>45330</v>
      </c>
      <c r="C1422" s="1" t="n">
        <v>45791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5094-2024</t>
        </is>
      </c>
      <c r="B1423" s="1" t="n">
        <v>45330</v>
      </c>
      <c r="C1423" s="1" t="n">
        <v>45791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5165-2024</t>
        </is>
      </c>
      <c r="B1424" s="1" t="n">
        <v>45330</v>
      </c>
      <c r="C1424" s="1" t="n">
        <v>45791</v>
      </c>
      <c r="D1424" t="inlineStr">
        <is>
          <t>KRONOBERGS LÄN</t>
        </is>
      </c>
      <c r="E1424" t="inlineStr">
        <is>
          <t>VÄXJÖ</t>
        </is>
      </c>
      <c r="F1424" t="inlineStr">
        <is>
          <t>Övriga Aktiebolag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5470-2024</t>
        </is>
      </c>
      <c r="B1425" s="1" t="n">
        <v>45332</v>
      </c>
      <c r="C1425" s="1" t="n">
        <v>45791</v>
      </c>
      <c r="D1425" t="inlineStr">
        <is>
          <t>KRONOBERGS LÄN</t>
        </is>
      </c>
      <c r="E1425" t="inlineStr">
        <is>
          <t>VÄXJÖ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6384-2024</t>
        </is>
      </c>
      <c r="B1426" s="1" t="n">
        <v>45338</v>
      </c>
      <c r="C1426" s="1" t="n">
        <v>45791</v>
      </c>
      <c r="D1426" t="inlineStr">
        <is>
          <t>KRONOBERGS LÄN</t>
        </is>
      </c>
      <c r="E1426" t="inlineStr">
        <is>
          <t>VÄXJÖ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6620-2024</t>
        </is>
      </c>
      <c r="B1427" s="1" t="n">
        <v>45341</v>
      </c>
      <c r="C1427" s="1" t="n">
        <v>45791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6617-2024</t>
        </is>
      </c>
      <c r="B1428" s="1" t="n">
        <v>45341</v>
      </c>
      <c r="C1428" s="1" t="n">
        <v>45791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6625-2024</t>
        </is>
      </c>
      <c r="B1429" s="1" t="n">
        <v>45341</v>
      </c>
      <c r="C1429" s="1" t="n">
        <v>45791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6784-2024</t>
        </is>
      </c>
      <c r="B1430" s="1" t="n">
        <v>45342</v>
      </c>
      <c r="C1430" s="1" t="n">
        <v>45791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6786-2024</t>
        </is>
      </c>
      <c r="B1431" s="1" t="n">
        <v>45342</v>
      </c>
      <c r="C1431" s="1" t="n">
        <v>45791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6821-2024</t>
        </is>
      </c>
      <c r="B1432" s="1" t="n">
        <v>45342</v>
      </c>
      <c r="C1432" s="1" t="n">
        <v>45791</v>
      </c>
      <c r="D1432" t="inlineStr">
        <is>
          <t>KRONOBERGS LÄN</t>
        </is>
      </c>
      <c r="E1432" t="inlineStr">
        <is>
          <t>VÄXJÖ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6870-2024</t>
        </is>
      </c>
      <c r="B1433" s="1" t="n">
        <v>45342</v>
      </c>
      <c r="C1433" s="1" t="n">
        <v>45791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6971-2024</t>
        </is>
      </c>
      <c r="B1434" s="1" t="n">
        <v>45343</v>
      </c>
      <c r="C1434" s="1" t="n">
        <v>45791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6973-2024</t>
        </is>
      </c>
      <c r="B1435" s="1" t="n">
        <v>45343</v>
      </c>
      <c r="C1435" s="1" t="n">
        <v>45791</v>
      </c>
      <c r="D1435" t="inlineStr">
        <is>
          <t>KRONOBERGS LÄN</t>
        </is>
      </c>
      <c r="E1435" t="inlineStr">
        <is>
          <t>VÄXJÖ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7073-2024</t>
        </is>
      </c>
      <c r="B1436" s="1" t="n">
        <v>45343</v>
      </c>
      <c r="C1436" s="1" t="n">
        <v>45791</v>
      </c>
      <c r="D1436" t="inlineStr">
        <is>
          <t>KRONOBERGS LÄN</t>
        </is>
      </c>
      <c r="E1436" t="inlineStr">
        <is>
          <t>VÄXJÖ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7304-2024</t>
        </is>
      </c>
      <c r="B1437" s="1" t="n">
        <v>45345</v>
      </c>
      <c r="C1437" s="1" t="n">
        <v>45791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7869-2024</t>
        </is>
      </c>
      <c r="B1438" s="1" t="n">
        <v>45350</v>
      </c>
      <c r="C1438" s="1" t="n">
        <v>45791</v>
      </c>
      <c r="D1438" t="inlineStr">
        <is>
          <t>KRONOBERGS LÄN</t>
        </is>
      </c>
      <c r="E1438" t="inlineStr">
        <is>
          <t>VÄXJÖ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7873-2024</t>
        </is>
      </c>
      <c r="B1439" s="1" t="n">
        <v>45350</v>
      </c>
      <c r="C1439" s="1" t="n">
        <v>45791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7871-2024</t>
        </is>
      </c>
      <c r="B1440" s="1" t="n">
        <v>45350</v>
      </c>
      <c r="C1440" s="1" t="n">
        <v>45791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8818-2024</t>
        </is>
      </c>
      <c r="B1441" s="1" t="n">
        <v>45356</v>
      </c>
      <c r="C1441" s="1" t="n">
        <v>45791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8819-2024</t>
        </is>
      </c>
      <c r="B1442" s="1" t="n">
        <v>45356</v>
      </c>
      <c r="C1442" s="1" t="n">
        <v>45791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9137-2024</t>
        </is>
      </c>
      <c r="B1443" s="1" t="n">
        <v>45358</v>
      </c>
      <c r="C1443" s="1" t="n">
        <v>45791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9286-2024</t>
        </is>
      </c>
      <c r="B1444" s="1" t="n">
        <v>45358</v>
      </c>
      <c r="C1444" s="1" t="n">
        <v>45791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9287-2024</t>
        </is>
      </c>
      <c r="B1445" s="1" t="n">
        <v>45358</v>
      </c>
      <c r="C1445" s="1" t="n">
        <v>45791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9357-2024</t>
        </is>
      </c>
      <c r="B1446" s="1" t="n">
        <v>45359</v>
      </c>
      <c r="C1446" s="1" t="n">
        <v>45791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9355-2024</t>
        </is>
      </c>
      <c r="B1447" s="1" t="n">
        <v>45359</v>
      </c>
      <c r="C1447" s="1" t="n">
        <v>45791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9358-2024</t>
        </is>
      </c>
      <c r="B1448" s="1" t="n">
        <v>45359</v>
      </c>
      <c r="C1448" s="1" t="n">
        <v>45791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9942-2024</t>
        </is>
      </c>
      <c r="B1449" s="1" t="n">
        <v>45363</v>
      </c>
      <c r="C1449" s="1" t="n">
        <v>45791</v>
      </c>
      <c r="D1449" t="inlineStr">
        <is>
          <t>KRONOBERGS LÄN</t>
        </is>
      </c>
      <c r="E1449" t="inlineStr">
        <is>
          <t>VÄXJÖ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10121-2024</t>
        </is>
      </c>
      <c r="B1450" s="1" t="n">
        <v>45364</v>
      </c>
      <c r="C1450" s="1" t="n">
        <v>45791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10789-2024</t>
        </is>
      </c>
      <c r="B1451" s="1" t="n">
        <v>45369</v>
      </c>
      <c r="C1451" s="1" t="n">
        <v>45791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10795-2024</t>
        </is>
      </c>
      <c r="B1452" s="1" t="n">
        <v>45369</v>
      </c>
      <c r="C1452" s="1" t="n">
        <v>45791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10820-2024</t>
        </is>
      </c>
      <c r="B1453" s="1" t="n">
        <v>45369</v>
      </c>
      <c r="C1453" s="1" t="n">
        <v>45791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11039-2024</t>
        </is>
      </c>
      <c r="B1454" s="1" t="n">
        <v>45370</v>
      </c>
      <c r="C1454" s="1" t="n">
        <v>45791</v>
      </c>
      <c r="D1454" t="inlineStr">
        <is>
          <t>KRONOBERGS LÄN</t>
        </is>
      </c>
      <c r="E1454" t="inlineStr">
        <is>
          <t>VÄXJÖ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11438-2024</t>
        </is>
      </c>
      <c r="B1455" s="1" t="n">
        <v>45372</v>
      </c>
      <c r="C1455" s="1" t="n">
        <v>45791</v>
      </c>
      <c r="D1455" t="inlineStr">
        <is>
          <t>KRONOBERGS LÄN</t>
        </is>
      </c>
      <c r="E1455" t="inlineStr">
        <is>
          <t>VÄXJÖ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11519-2024</t>
        </is>
      </c>
      <c r="B1456" s="1" t="n">
        <v>45372</v>
      </c>
      <c r="C1456" s="1" t="n">
        <v>45791</v>
      </c>
      <c r="D1456" t="inlineStr">
        <is>
          <t>KRONOBERGS LÄN</t>
        </is>
      </c>
      <c r="E1456" t="inlineStr">
        <is>
          <t>VÄXJÖ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11642-2024</t>
        </is>
      </c>
      <c r="B1457" s="1" t="n">
        <v>45373</v>
      </c>
      <c r="C1457" s="1" t="n">
        <v>45791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11643-2024</t>
        </is>
      </c>
      <c r="B1458" s="1" t="n">
        <v>45373</v>
      </c>
      <c r="C1458" s="1" t="n">
        <v>45791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11948-2024</t>
        </is>
      </c>
      <c r="B1459" s="1" t="n">
        <v>45376</v>
      </c>
      <c r="C1459" s="1" t="n">
        <v>45791</v>
      </c>
      <c r="D1459" t="inlineStr">
        <is>
          <t>KRONOBERGS LÄN</t>
        </is>
      </c>
      <c r="E1459" t="inlineStr">
        <is>
          <t>VÄXJÖ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12445-2024</t>
        </is>
      </c>
      <c r="B1460" s="1" t="n">
        <v>45378</v>
      </c>
      <c r="C1460" s="1" t="n">
        <v>45791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12605-2024</t>
        </is>
      </c>
      <c r="B1461" s="1" t="n">
        <v>45381</v>
      </c>
      <c r="C1461" s="1" t="n">
        <v>45791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12604-2024</t>
        </is>
      </c>
      <c r="B1462" s="1" t="n">
        <v>45381</v>
      </c>
      <c r="C1462" s="1" t="n">
        <v>45791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12845-2024</t>
        </is>
      </c>
      <c r="B1463" s="1" t="n">
        <v>45384</v>
      </c>
      <c r="C1463" s="1" t="n">
        <v>45791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12645-2024</t>
        </is>
      </c>
      <c r="B1464" s="1" t="n">
        <v>45384</v>
      </c>
      <c r="C1464" s="1" t="n">
        <v>45791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13002-2024</t>
        </is>
      </c>
      <c r="B1465" s="1" t="n">
        <v>45385</v>
      </c>
      <c r="C1465" s="1" t="n">
        <v>45791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13000-2024</t>
        </is>
      </c>
      <c r="B1466" s="1" t="n">
        <v>45385</v>
      </c>
      <c r="C1466" s="1" t="n">
        <v>45791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12999-2024</t>
        </is>
      </c>
      <c r="B1467" s="1" t="n">
        <v>45385</v>
      </c>
      <c r="C1467" s="1" t="n">
        <v>45791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13013-2024</t>
        </is>
      </c>
      <c r="B1468" s="1" t="n">
        <v>45385</v>
      </c>
      <c r="C1468" s="1" t="n">
        <v>45791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13026-2024</t>
        </is>
      </c>
      <c r="B1469" s="1" t="n">
        <v>45385</v>
      </c>
      <c r="C1469" s="1" t="n">
        <v>45791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13095-2024</t>
        </is>
      </c>
      <c r="B1470" s="1" t="n">
        <v>45385</v>
      </c>
      <c r="C1470" s="1" t="n">
        <v>45791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13010-2024</t>
        </is>
      </c>
      <c r="B1471" s="1" t="n">
        <v>45385</v>
      </c>
      <c r="C1471" s="1" t="n">
        <v>45791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13015-2024</t>
        </is>
      </c>
      <c r="B1472" s="1" t="n">
        <v>45385</v>
      </c>
      <c r="C1472" s="1" t="n">
        <v>45791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13028-2024</t>
        </is>
      </c>
      <c r="B1473" s="1" t="n">
        <v>45385</v>
      </c>
      <c r="C1473" s="1" t="n">
        <v>45791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13215-2024</t>
        </is>
      </c>
      <c r="B1474" s="1" t="n">
        <v>45386</v>
      </c>
      <c r="C1474" s="1" t="n">
        <v>45791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13325-2024</t>
        </is>
      </c>
      <c r="B1475" s="1" t="n">
        <v>45386</v>
      </c>
      <c r="C1475" s="1" t="n">
        <v>45791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13324-2024</t>
        </is>
      </c>
      <c r="B1476" s="1" t="n">
        <v>45386</v>
      </c>
      <c r="C1476" s="1" t="n">
        <v>45791</v>
      </c>
      <c r="D1476" t="inlineStr">
        <is>
          <t>KRONOBERGS LÄN</t>
        </is>
      </c>
      <c r="E1476" t="inlineStr">
        <is>
          <t>VÄXJÖ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13326-2024</t>
        </is>
      </c>
      <c r="B1477" s="1" t="n">
        <v>45386</v>
      </c>
      <c r="C1477" s="1" t="n">
        <v>45791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13447-2024</t>
        </is>
      </c>
      <c r="B1478" s="1" t="n">
        <v>45387</v>
      </c>
      <c r="C1478" s="1" t="n">
        <v>45791</v>
      </c>
      <c r="D1478" t="inlineStr">
        <is>
          <t>KRONOBERGS LÄN</t>
        </is>
      </c>
      <c r="E1478" t="inlineStr">
        <is>
          <t>VÄXJÖ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13442-2024</t>
        </is>
      </c>
      <c r="B1479" s="1" t="n">
        <v>45387</v>
      </c>
      <c r="C1479" s="1" t="n">
        <v>45791</v>
      </c>
      <c r="D1479" t="inlineStr">
        <is>
          <t>KRONOBERGS LÄN</t>
        </is>
      </c>
      <c r="E1479" t="inlineStr">
        <is>
          <t>VÄXJÖ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13371-2024</t>
        </is>
      </c>
      <c r="B1480" s="1" t="n">
        <v>45387</v>
      </c>
      <c r="C1480" s="1" t="n">
        <v>45791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13682-2024</t>
        </is>
      </c>
      <c r="B1481" s="1" t="n">
        <v>45390</v>
      </c>
      <c r="C1481" s="1" t="n">
        <v>45791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13637-2024</t>
        </is>
      </c>
      <c r="B1482" s="1" t="n">
        <v>45390</v>
      </c>
      <c r="C1482" s="1" t="n">
        <v>45791</v>
      </c>
      <c r="D1482" t="inlineStr">
        <is>
          <t>KRONOBERGS LÄN</t>
        </is>
      </c>
      <c r="E1482" t="inlineStr">
        <is>
          <t>VÄXJÖ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13696-2024</t>
        </is>
      </c>
      <c r="B1483" s="1" t="n">
        <v>45390</v>
      </c>
      <c r="C1483" s="1" t="n">
        <v>45791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13859-2024</t>
        </is>
      </c>
      <c r="B1484" s="1" t="n">
        <v>45390</v>
      </c>
      <c r="C1484" s="1" t="n">
        <v>45791</v>
      </c>
      <c r="D1484" t="inlineStr">
        <is>
          <t>KRONOBERGS LÄN</t>
        </is>
      </c>
      <c r="E1484" t="inlineStr">
        <is>
          <t>VÄXJÖ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13975-2024</t>
        </is>
      </c>
      <c r="B1485" s="1" t="n">
        <v>45392</v>
      </c>
      <c r="C1485" s="1" t="n">
        <v>45791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13973-2024</t>
        </is>
      </c>
      <c r="B1486" s="1" t="n">
        <v>45392</v>
      </c>
      <c r="C1486" s="1" t="n">
        <v>45791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13977-2024</t>
        </is>
      </c>
      <c r="B1487" s="1" t="n">
        <v>45392</v>
      </c>
      <c r="C1487" s="1" t="n">
        <v>45791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13972-2024</t>
        </is>
      </c>
      <c r="B1488" s="1" t="n">
        <v>45392</v>
      </c>
      <c r="C1488" s="1" t="n">
        <v>45791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13976-2024</t>
        </is>
      </c>
      <c r="B1489" s="1" t="n">
        <v>45392</v>
      </c>
      <c r="C1489" s="1" t="n">
        <v>45791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14126-2024</t>
        </is>
      </c>
      <c r="B1490" s="1" t="n">
        <v>45392</v>
      </c>
      <c r="C1490" s="1" t="n">
        <v>45791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13978-2024</t>
        </is>
      </c>
      <c r="B1491" s="1" t="n">
        <v>45392</v>
      </c>
      <c r="C1491" s="1" t="n">
        <v>45791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14175-2024</t>
        </is>
      </c>
      <c r="B1492" s="1" t="n">
        <v>45393</v>
      </c>
      <c r="C1492" s="1" t="n">
        <v>45791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14179-2024</t>
        </is>
      </c>
      <c r="B1493" s="1" t="n">
        <v>45393</v>
      </c>
      <c r="C1493" s="1" t="n">
        <v>45791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14252-2024</t>
        </is>
      </c>
      <c r="B1494" s="1" t="n">
        <v>45393</v>
      </c>
      <c r="C1494" s="1" t="n">
        <v>45791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14249-2024</t>
        </is>
      </c>
      <c r="B1495" s="1" t="n">
        <v>45393</v>
      </c>
      <c r="C1495" s="1" t="n">
        <v>45791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14542-2024</t>
        </is>
      </c>
      <c r="B1496" s="1" t="n">
        <v>45394</v>
      </c>
      <c r="C1496" s="1" t="n">
        <v>45791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14743-2024</t>
        </is>
      </c>
      <c r="B1497" s="1" t="n">
        <v>45397</v>
      </c>
      <c r="C1497" s="1" t="n">
        <v>45791</v>
      </c>
      <c r="D1497" t="inlineStr">
        <is>
          <t>KRONOBERGS LÄN</t>
        </is>
      </c>
      <c r="E1497" t="inlineStr">
        <is>
          <t>VÄXJÖ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14737-2024</t>
        </is>
      </c>
      <c r="B1498" s="1" t="n">
        <v>45397</v>
      </c>
      <c r="C1498" s="1" t="n">
        <v>45791</v>
      </c>
      <c r="D1498" t="inlineStr">
        <is>
          <t>KRONOBERGS LÄN</t>
        </is>
      </c>
      <c r="E1498" t="inlineStr">
        <is>
          <t>VÄXJÖ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15217-2024</t>
        </is>
      </c>
      <c r="B1499" s="1" t="n">
        <v>45400</v>
      </c>
      <c r="C1499" s="1" t="n">
        <v>45791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15271-2024</t>
        </is>
      </c>
      <c r="B1500" s="1" t="n">
        <v>45400</v>
      </c>
      <c r="C1500" s="1" t="n">
        <v>45791</v>
      </c>
      <c r="D1500" t="inlineStr">
        <is>
          <t>KRONOBERGS LÄN</t>
        </is>
      </c>
      <c r="E1500" t="inlineStr">
        <is>
          <t>VÄXJÖ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15223-2024</t>
        </is>
      </c>
      <c r="B1501" s="1" t="n">
        <v>45400</v>
      </c>
      <c r="C1501" s="1" t="n">
        <v>45791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15560-2024</t>
        </is>
      </c>
      <c r="B1502" s="1" t="n">
        <v>45401</v>
      </c>
      <c r="C1502" s="1" t="n">
        <v>45791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15506-2024</t>
        </is>
      </c>
      <c r="B1503" s="1" t="n">
        <v>45401</v>
      </c>
      <c r="C1503" s="1" t="n">
        <v>45791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15504-2024</t>
        </is>
      </c>
      <c r="B1504" s="1" t="n">
        <v>45401</v>
      </c>
      <c r="C1504" s="1" t="n">
        <v>45791</v>
      </c>
      <c r="D1504" t="inlineStr">
        <is>
          <t>KRONOBERGS LÄN</t>
        </is>
      </c>
      <c r="E1504" t="inlineStr">
        <is>
          <t>VÄXJÖ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15516-2024</t>
        </is>
      </c>
      <c r="B1505" s="1" t="n">
        <v>45401</v>
      </c>
      <c r="C1505" s="1" t="n">
        <v>45791</v>
      </c>
      <c r="D1505" t="inlineStr">
        <is>
          <t>KRONOBERGS LÄN</t>
        </is>
      </c>
      <c r="E1505" t="inlineStr">
        <is>
          <t>VÄXJÖ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15566-2024</t>
        </is>
      </c>
      <c r="B1506" s="1" t="n">
        <v>45401</v>
      </c>
      <c r="C1506" s="1" t="n">
        <v>45791</v>
      </c>
      <c r="D1506" t="inlineStr">
        <is>
          <t>KRONOBERGS LÄN</t>
        </is>
      </c>
      <c r="E1506" t="inlineStr">
        <is>
          <t>VÄXJÖ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15569-2024</t>
        </is>
      </c>
      <c r="B1507" s="1" t="n">
        <v>45401</v>
      </c>
      <c r="C1507" s="1" t="n">
        <v>45791</v>
      </c>
      <c r="D1507" t="inlineStr">
        <is>
          <t>KRONOBERGS LÄN</t>
        </is>
      </c>
      <c r="E1507" t="inlineStr">
        <is>
          <t>VÄXJÖ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15511-2024</t>
        </is>
      </c>
      <c r="B1508" s="1" t="n">
        <v>45401</v>
      </c>
      <c r="C1508" s="1" t="n">
        <v>45791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16026-2024</t>
        </is>
      </c>
      <c r="B1509" s="1" t="n">
        <v>45405</v>
      </c>
      <c r="C1509" s="1" t="n">
        <v>45791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16131-2024</t>
        </is>
      </c>
      <c r="B1510" s="1" t="n">
        <v>45406</v>
      </c>
      <c r="C1510" s="1" t="n">
        <v>45791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16132-2024</t>
        </is>
      </c>
      <c r="B1511" s="1" t="n">
        <v>45406</v>
      </c>
      <c r="C1511" s="1" t="n">
        <v>45791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16377-2024</t>
        </is>
      </c>
      <c r="B1512" s="1" t="n">
        <v>45407</v>
      </c>
      <c r="C1512" s="1" t="n">
        <v>45791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16423-2024</t>
        </is>
      </c>
      <c r="B1513" s="1" t="n">
        <v>45407</v>
      </c>
      <c r="C1513" s="1" t="n">
        <v>45791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16425-2024</t>
        </is>
      </c>
      <c r="B1514" s="1" t="n">
        <v>45407</v>
      </c>
      <c r="C1514" s="1" t="n">
        <v>45791</v>
      </c>
      <c r="D1514" t="inlineStr">
        <is>
          <t>KRONOBERGS LÄN</t>
        </is>
      </c>
      <c r="E1514" t="inlineStr">
        <is>
          <t>VÄXJÖ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16439-2024</t>
        </is>
      </c>
      <c r="B1515" s="1" t="n">
        <v>45407</v>
      </c>
      <c r="C1515" s="1" t="n">
        <v>45791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16436-2024</t>
        </is>
      </c>
      <c r="B1516" s="1" t="n">
        <v>45407</v>
      </c>
      <c r="C1516" s="1" t="n">
        <v>45791</v>
      </c>
      <c r="D1516" t="inlineStr">
        <is>
          <t>KRONOBERGS LÄN</t>
        </is>
      </c>
      <c r="E1516" t="inlineStr">
        <is>
          <t>VÄXJÖ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</v>
      </c>
      <c r="C1517" s="1" t="n">
        <v>45791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16892-2024</t>
        </is>
      </c>
      <c r="B1518" s="1" t="n">
        <v>45411</v>
      </c>
      <c r="C1518" s="1" t="n">
        <v>45791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17060-2024</t>
        </is>
      </c>
      <c r="B1519" s="1" t="n">
        <v>45412</v>
      </c>
      <c r="C1519" s="1" t="n">
        <v>45791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17055-2024</t>
        </is>
      </c>
      <c r="B1520" s="1" t="n">
        <v>45412</v>
      </c>
      <c r="C1520" s="1" t="n">
        <v>45791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17010-2024</t>
        </is>
      </c>
      <c r="B1521" s="1" t="n">
        <v>45412</v>
      </c>
      <c r="C1521" s="1" t="n">
        <v>45791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17934-2024</t>
        </is>
      </c>
      <c r="B1522" s="1" t="n">
        <v>45419</v>
      </c>
      <c r="C1522" s="1" t="n">
        <v>45791</v>
      </c>
      <c r="D1522" t="inlineStr">
        <is>
          <t>KRONOBERGS LÄN</t>
        </is>
      </c>
      <c r="E1522" t="inlineStr">
        <is>
          <t>VÄXJÖ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17937-2024</t>
        </is>
      </c>
      <c r="B1523" s="1" t="n">
        <v>45419</v>
      </c>
      <c r="C1523" s="1" t="n">
        <v>45791</v>
      </c>
      <c r="D1523" t="inlineStr">
        <is>
          <t>KRONOBERGS LÄN</t>
        </is>
      </c>
      <c r="E1523" t="inlineStr">
        <is>
          <t>VÄXJÖ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18029-2024</t>
        </is>
      </c>
      <c r="B1524" s="1" t="n">
        <v>45420</v>
      </c>
      <c r="C1524" s="1" t="n">
        <v>45791</v>
      </c>
      <c r="D1524" t="inlineStr">
        <is>
          <t>KRONOBERGS LÄN</t>
        </is>
      </c>
      <c r="E1524" t="inlineStr">
        <is>
          <t>VÄXJÖ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18058-2024</t>
        </is>
      </c>
      <c r="B1525" s="1" t="n">
        <v>45420</v>
      </c>
      <c r="C1525" s="1" t="n">
        <v>45791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18060-2024</t>
        </is>
      </c>
      <c r="B1526" s="1" t="n">
        <v>45420</v>
      </c>
      <c r="C1526" s="1" t="n">
        <v>45791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18269-2024</t>
        </is>
      </c>
      <c r="B1527" s="1" t="n">
        <v>45421</v>
      </c>
      <c r="C1527" s="1" t="n">
        <v>45791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18409-2024</t>
        </is>
      </c>
      <c r="B1528" s="1" t="n">
        <v>45425</v>
      </c>
      <c r="C1528" s="1" t="n">
        <v>45791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45791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19074-2024</t>
        </is>
      </c>
      <c r="B1530" s="1" t="n">
        <v>45427</v>
      </c>
      <c r="C1530" s="1" t="n">
        <v>45791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19379-2024</t>
        </is>
      </c>
      <c r="B1531" s="1" t="n">
        <v>45428</v>
      </c>
      <c r="C1531" s="1" t="n">
        <v>45791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19377-2024</t>
        </is>
      </c>
      <c r="B1532" s="1" t="n">
        <v>45428</v>
      </c>
      <c r="C1532" s="1" t="n">
        <v>45791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19400-2024</t>
        </is>
      </c>
      <c r="B1533" s="1" t="n">
        <v>45428</v>
      </c>
      <c r="C1533" s="1" t="n">
        <v>45791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19730-2024</t>
        </is>
      </c>
      <c r="B1534" s="1" t="n">
        <v>45432</v>
      </c>
      <c r="C1534" s="1" t="n">
        <v>45791</v>
      </c>
      <c r="D1534" t="inlineStr">
        <is>
          <t>KRONOBERGS LÄN</t>
        </is>
      </c>
      <c r="E1534" t="inlineStr">
        <is>
          <t>VÄXJÖ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19733-2024</t>
        </is>
      </c>
      <c r="B1535" s="1" t="n">
        <v>45432</v>
      </c>
      <c r="C1535" s="1" t="n">
        <v>45791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19664-2024</t>
        </is>
      </c>
      <c r="B1536" s="1" t="n">
        <v>45432</v>
      </c>
      <c r="C1536" s="1" t="n">
        <v>45791</v>
      </c>
      <c r="D1536" t="inlineStr">
        <is>
          <t>KRONOBERGS LÄN</t>
        </is>
      </c>
      <c r="E1536" t="inlineStr">
        <is>
          <t>VÄXJÖ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19712-2024</t>
        </is>
      </c>
      <c r="B1537" s="1" t="n">
        <v>45432</v>
      </c>
      <c r="C1537" s="1" t="n">
        <v>45791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19904-2024</t>
        </is>
      </c>
      <c r="B1538" s="1" t="n">
        <v>45433</v>
      </c>
      <c r="C1538" s="1" t="n">
        <v>45791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20372-2024</t>
        </is>
      </c>
      <c r="B1539" s="1" t="n">
        <v>45435</v>
      </c>
      <c r="C1539" s="1" t="n">
        <v>45791</v>
      </c>
      <c r="D1539" t="inlineStr">
        <is>
          <t>KRONOBERGS LÄN</t>
        </is>
      </c>
      <c r="E1539" t="inlineStr">
        <is>
          <t>VÄXJÖ</t>
        </is>
      </c>
      <c r="F1539" t="inlineStr">
        <is>
          <t>Kyrkan</t>
        </is>
      </c>
      <c r="G1539" t="n">
        <v>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20731-2024</t>
        </is>
      </c>
      <c r="B1540" s="1" t="n">
        <v>45436</v>
      </c>
      <c r="C1540" s="1" t="n">
        <v>45791</v>
      </c>
      <c r="D1540" t="inlineStr">
        <is>
          <t>KRONOBERGS LÄN</t>
        </is>
      </c>
      <c r="E1540" t="inlineStr">
        <is>
          <t>VÄXJÖ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20621-2024</t>
        </is>
      </c>
      <c r="B1541" s="1" t="n">
        <v>45436</v>
      </c>
      <c r="C1541" s="1" t="n">
        <v>45791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21213-2024</t>
        </is>
      </c>
      <c r="B1542" s="1" t="n">
        <v>45440</v>
      </c>
      <c r="C1542" s="1" t="n">
        <v>45791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21158-2024</t>
        </is>
      </c>
      <c r="B1543" s="1" t="n">
        <v>45440</v>
      </c>
      <c r="C1543" s="1" t="n">
        <v>45791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21186-2024</t>
        </is>
      </c>
      <c r="B1544" s="1" t="n">
        <v>45440</v>
      </c>
      <c r="C1544" s="1" t="n">
        <v>45791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21990-2024</t>
        </is>
      </c>
      <c r="B1545" s="1" t="n">
        <v>45443</v>
      </c>
      <c r="C1545" s="1" t="n">
        <v>45791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21993-2024</t>
        </is>
      </c>
      <c r="B1546" s="1" t="n">
        <v>45443</v>
      </c>
      <c r="C1546" s="1" t="n">
        <v>45791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22389-2024</t>
        </is>
      </c>
      <c r="B1547" s="1" t="n">
        <v>45446</v>
      </c>
      <c r="C1547" s="1" t="n">
        <v>45791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22221-2024</t>
        </is>
      </c>
      <c r="B1548" s="1" t="n">
        <v>45446</v>
      </c>
      <c r="C1548" s="1" t="n">
        <v>45791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22233-2024</t>
        </is>
      </c>
      <c r="B1549" s="1" t="n">
        <v>45446</v>
      </c>
      <c r="C1549" s="1" t="n">
        <v>45791</v>
      </c>
      <c r="D1549" t="inlineStr">
        <is>
          <t>KRONOBERGS LÄN</t>
        </is>
      </c>
      <c r="E1549" t="inlineStr">
        <is>
          <t>VÄXJÖ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22413-2024</t>
        </is>
      </c>
      <c r="B1550" s="1" t="n">
        <v>45446</v>
      </c>
      <c r="C1550" s="1" t="n">
        <v>45791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22213-2024</t>
        </is>
      </c>
      <c r="B1551" s="1" t="n">
        <v>45446</v>
      </c>
      <c r="C1551" s="1" t="n">
        <v>45791</v>
      </c>
      <c r="D1551" t="inlineStr">
        <is>
          <t>KRONOBERGS LÄN</t>
        </is>
      </c>
      <c r="E1551" t="inlineStr">
        <is>
          <t>VÄXJÖ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22396-2024</t>
        </is>
      </c>
      <c r="B1552" s="1" t="n">
        <v>45446</v>
      </c>
      <c r="C1552" s="1" t="n">
        <v>45791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22436-2024</t>
        </is>
      </c>
      <c r="B1553" s="1" t="n">
        <v>45446</v>
      </c>
      <c r="C1553" s="1" t="n">
        <v>45791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22315-2024</t>
        </is>
      </c>
      <c r="B1554" s="1" t="n">
        <v>45446</v>
      </c>
      <c r="C1554" s="1" t="n">
        <v>45791</v>
      </c>
      <c r="D1554" t="inlineStr">
        <is>
          <t>KRONOBERGS LÄN</t>
        </is>
      </c>
      <c r="E1554" t="inlineStr">
        <is>
          <t>VÄXJÖ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22201-2024</t>
        </is>
      </c>
      <c r="B1555" s="1" t="n">
        <v>45446</v>
      </c>
      <c r="C1555" s="1" t="n">
        <v>45791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22559-2024</t>
        </is>
      </c>
      <c r="B1556" s="1" t="n">
        <v>45447</v>
      </c>
      <c r="C1556" s="1" t="n">
        <v>45791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22521-2024</t>
        </is>
      </c>
      <c r="B1557" s="1" t="n">
        <v>45447</v>
      </c>
      <c r="C1557" s="1" t="n">
        <v>45791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22500-2024</t>
        </is>
      </c>
      <c r="B1558" s="1" t="n">
        <v>45447</v>
      </c>
      <c r="C1558" s="1" t="n">
        <v>45791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22585-2024</t>
        </is>
      </c>
      <c r="B1559" s="1" t="n">
        <v>45447</v>
      </c>
      <c r="C1559" s="1" t="n">
        <v>45791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22573-2024</t>
        </is>
      </c>
      <c r="B1560" s="1" t="n">
        <v>45447</v>
      </c>
      <c r="C1560" s="1" t="n">
        <v>45791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22520-2024</t>
        </is>
      </c>
      <c r="B1561" s="1" t="n">
        <v>45447</v>
      </c>
      <c r="C1561" s="1" t="n">
        <v>45791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22738-2024</t>
        </is>
      </c>
      <c r="B1562" s="1" t="n">
        <v>45448</v>
      </c>
      <c r="C1562" s="1" t="n">
        <v>45791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22736-2024</t>
        </is>
      </c>
      <c r="B1563" s="1" t="n">
        <v>45448</v>
      </c>
      <c r="C1563" s="1" t="n">
        <v>45791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23703-2024</t>
        </is>
      </c>
      <c r="B1564" s="1" t="n">
        <v>45454</v>
      </c>
      <c r="C1564" s="1" t="n">
        <v>45791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24170-2024</t>
        </is>
      </c>
      <c r="B1565" s="1" t="n">
        <v>45456</v>
      </c>
      <c r="C1565" s="1" t="n">
        <v>45791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24309-2024</t>
        </is>
      </c>
      <c r="B1566" s="1" t="n">
        <v>45457</v>
      </c>
      <c r="C1566" s="1" t="n">
        <v>45791</v>
      </c>
      <c r="D1566" t="inlineStr">
        <is>
          <t>KRONOBERGS LÄN</t>
        </is>
      </c>
      <c r="E1566" t="inlineStr">
        <is>
          <t>VÄXJÖ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24524-2024</t>
        </is>
      </c>
      <c r="B1567" s="1" t="n">
        <v>45460</v>
      </c>
      <c r="C1567" s="1" t="n">
        <v>45791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24556-2024</t>
        </is>
      </c>
      <c r="B1568" s="1" t="n">
        <v>45460</v>
      </c>
      <c r="C1568" s="1" t="n">
        <v>45791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25664-2024</t>
        </is>
      </c>
      <c r="B1569" s="1" t="n">
        <v>45463</v>
      </c>
      <c r="C1569" s="1" t="n">
        <v>45791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25626-2024</t>
        </is>
      </c>
      <c r="B1570" s="1" t="n">
        <v>45463</v>
      </c>
      <c r="C1570" s="1" t="n">
        <v>45791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25639-2024</t>
        </is>
      </c>
      <c r="B1571" s="1" t="n">
        <v>45463</v>
      </c>
      <c r="C1571" s="1" t="n">
        <v>45791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25777-2024</t>
        </is>
      </c>
      <c r="B1572" s="1" t="n">
        <v>45466</v>
      </c>
      <c r="C1572" s="1" t="n">
        <v>45791</v>
      </c>
      <c r="D1572" t="inlineStr">
        <is>
          <t>KRONOBERGS LÄN</t>
        </is>
      </c>
      <c r="E1572" t="inlineStr">
        <is>
          <t>VÄXJÖ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25846-2024</t>
        </is>
      </c>
      <c r="B1573" s="1" t="n">
        <v>45467</v>
      </c>
      <c r="C1573" s="1" t="n">
        <v>45791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25902-2024</t>
        </is>
      </c>
      <c r="B1574" s="1" t="n">
        <v>45467</v>
      </c>
      <c r="C1574" s="1" t="n">
        <v>45791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26121-2024</t>
        </is>
      </c>
      <c r="B1575" s="1" t="n">
        <v>45468</v>
      </c>
      <c r="C1575" s="1" t="n">
        <v>45791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26112-2024</t>
        </is>
      </c>
      <c r="B1576" s="1" t="n">
        <v>45468</v>
      </c>
      <c r="C1576" s="1" t="n">
        <v>45791</v>
      </c>
      <c r="D1576" t="inlineStr">
        <is>
          <t>KRONOBERGS LÄN</t>
        </is>
      </c>
      <c r="E1576" t="inlineStr">
        <is>
          <t>VÄXJÖ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26139-2024</t>
        </is>
      </c>
      <c r="B1577" s="1" t="n">
        <v>45468</v>
      </c>
      <c r="C1577" s="1" t="n">
        <v>45791</v>
      </c>
      <c r="D1577" t="inlineStr">
        <is>
          <t>KRONOBERGS LÄN</t>
        </is>
      </c>
      <c r="E1577" t="inlineStr">
        <is>
          <t>VÄXJÖ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26088-2024</t>
        </is>
      </c>
      <c r="B1578" s="1" t="n">
        <v>45468</v>
      </c>
      <c r="C1578" s="1" t="n">
        <v>45791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26215-2024</t>
        </is>
      </c>
      <c r="B1579" s="1" t="n">
        <v>45468</v>
      </c>
      <c r="C1579" s="1" t="n">
        <v>45791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26332-2024</t>
        </is>
      </c>
      <c r="B1580" s="1" t="n">
        <v>45469</v>
      </c>
      <c r="C1580" s="1" t="n">
        <v>45791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26669-2024</t>
        </is>
      </c>
      <c r="B1581" s="1" t="n">
        <v>45470</v>
      </c>
      <c r="C1581" s="1" t="n">
        <v>45791</v>
      </c>
      <c r="D1581" t="inlineStr">
        <is>
          <t>KRONOBERGS LÄN</t>
        </is>
      </c>
      <c r="E1581" t="inlineStr">
        <is>
          <t>VÄXJÖ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27082-2024</t>
        </is>
      </c>
      <c r="B1582" s="1" t="n">
        <v>45471</v>
      </c>
      <c r="C1582" s="1" t="n">
        <v>45791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27413-2024</t>
        </is>
      </c>
      <c r="B1583" s="1" t="n">
        <v>45474</v>
      </c>
      <c r="C1583" s="1" t="n">
        <v>45791</v>
      </c>
      <c r="D1583" t="inlineStr">
        <is>
          <t>KRONOBERGS LÄN</t>
        </is>
      </c>
      <c r="E1583" t="inlineStr">
        <is>
          <t>VÄXJÖ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27713-2024</t>
        </is>
      </c>
      <c r="B1584" s="1" t="n">
        <v>45475</v>
      </c>
      <c r="C1584" s="1" t="n">
        <v>45791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27937-2024</t>
        </is>
      </c>
      <c r="B1585" s="1" t="n">
        <v>45476</v>
      </c>
      <c r="C1585" s="1" t="n">
        <v>45791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28218-2024</t>
        </is>
      </c>
      <c r="B1586" s="1" t="n">
        <v>45477</v>
      </c>
      <c r="C1586" s="1" t="n">
        <v>45791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28219-2024</t>
        </is>
      </c>
      <c r="B1587" s="1" t="n">
        <v>45477</v>
      </c>
      <c r="C1587" s="1" t="n">
        <v>45791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28830-2024</t>
        </is>
      </c>
      <c r="B1588" s="1" t="n">
        <v>45478</v>
      </c>
      <c r="C1588" s="1" t="n">
        <v>45791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28731-2024</t>
        </is>
      </c>
      <c r="B1589" s="1" t="n">
        <v>45478</v>
      </c>
      <c r="C1589" s="1" t="n">
        <v>45791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28832-2024</t>
        </is>
      </c>
      <c r="B1590" s="1" t="n">
        <v>45478</v>
      </c>
      <c r="C1590" s="1" t="n">
        <v>45791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29140-2024</t>
        </is>
      </c>
      <c r="B1591" s="1" t="n">
        <v>45482</v>
      </c>
      <c r="C1591" s="1" t="n">
        <v>45791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29923-2024</t>
        </is>
      </c>
      <c r="B1592" s="1" t="n">
        <v>45488</v>
      </c>
      <c r="C1592" s="1" t="n">
        <v>45791</v>
      </c>
      <c r="D1592" t="inlineStr">
        <is>
          <t>KRONOBERGS LÄN</t>
        </is>
      </c>
      <c r="E1592" t="inlineStr">
        <is>
          <t>VÄXJÖ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30320-2024</t>
        </is>
      </c>
      <c r="B1593" s="1" t="n">
        <v>45490</v>
      </c>
      <c r="C1593" s="1" t="n">
        <v>45791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30665-2024</t>
        </is>
      </c>
      <c r="B1594" s="1" t="n">
        <v>45495</v>
      </c>
      <c r="C1594" s="1" t="n">
        <v>45791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30676-2024</t>
        </is>
      </c>
      <c r="B1595" s="1" t="n">
        <v>45495</v>
      </c>
      <c r="C1595" s="1" t="n">
        <v>45791</v>
      </c>
      <c r="D1595" t="inlineStr">
        <is>
          <t>KRONOBERGS LÄN</t>
        </is>
      </c>
      <c r="E1595" t="inlineStr">
        <is>
          <t>VÄXJÖ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31307-2024</t>
        </is>
      </c>
      <c r="B1596" s="1" t="n">
        <v>45504</v>
      </c>
      <c r="C1596" s="1" t="n">
        <v>45791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31309-2024</t>
        </is>
      </c>
      <c r="B1597" s="1" t="n">
        <v>45504</v>
      </c>
      <c r="C1597" s="1" t="n">
        <v>45791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31753-2024</t>
        </is>
      </c>
      <c r="B1598" s="1" t="n">
        <v>45509</v>
      </c>
      <c r="C1598" s="1" t="n">
        <v>45791</v>
      </c>
      <c r="D1598" t="inlineStr">
        <is>
          <t>KRONOBERGS LÄN</t>
        </is>
      </c>
      <c r="E1598" t="inlineStr">
        <is>
          <t>VÄXJÖ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31780-2024</t>
        </is>
      </c>
      <c r="B1599" s="1" t="n">
        <v>45509</v>
      </c>
      <c r="C1599" s="1" t="n">
        <v>45791</v>
      </c>
      <c r="D1599" t="inlineStr">
        <is>
          <t>KRONOBERGS LÄN</t>
        </is>
      </c>
      <c r="E1599" t="inlineStr">
        <is>
          <t>VÄXJÖ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31752-2024</t>
        </is>
      </c>
      <c r="B1600" s="1" t="n">
        <v>45509</v>
      </c>
      <c r="C1600" s="1" t="n">
        <v>45791</v>
      </c>
      <c r="D1600" t="inlineStr">
        <is>
          <t>KRONOBERGS LÄN</t>
        </is>
      </c>
      <c r="E1600" t="inlineStr">
        <is>
          <t>VÄXJÖ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32162-2024</t>
        </is>
      </c>
      <c r="B1601" s="1" t="n">
        <v>45511</v>
      </c>
      <c r="C1601" s="1" t="n">
        <v>45791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32490-2024</t>
        </is>
      </c>
      <c r="B1602" s="1" t="n">
        <v>45513</v>
      </c>
      <c r="C1602" s="1" t="n">
        <v>45791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32870-2024</t>
        </is>
      </c>
      <c r="B1603" s="1" t="n">
        <v>45516</v>
      </c>
      <c r="C1603" s="1" t="n">
        <v>45791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33005-2024</t>
        </is>
      </c>
      <c r="B1604" s="1" t="n">
        <v>45517</v>
      </c>
      <c r="C1604" s="1" t="n">
        <v>45791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33075-2024</t>
        </is>
      </c>
      <c r="B1605" s="1" t="n">
        <v>45517</v>
      </c>
      <c r="C1605" s="1" t="n">
        <v>45791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33139-2024</t>
        </is>
      </c>
      <c r="B1606" s="1" t="n">
        <v>45518</v>
      </c>
      <c r="C1606" s="1" t="n">
        <v>45791</v>
      </c>
      <c r="D1606" t="inlineStr">
        <is>
          <t>KRONOBERGS LÄN</t>
        </is>
      </c>
      <c r="E1606" t="inlineStr">
        <is>
          <t>VÄXJÖ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33340-2024</t>
        </is>
      </c>
      <c r="B1607" s="1" t="n">
        <v>45519</v>
      </c>
      <c r="C1607" s="1" t="n">
        <v>45791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33526-2024</t>
        </is>
      </c>
      <c r="B1608" s="1" t="n">
        <v>45519</v>
      </c>
      <c r="C1608" s="1" t="n">
        <v>45791</v>
      </c>
      <c r="D1608" t="inlineStr">
        <is>
          <t>KRONOBERGS LÄN</t>
        </is>
      </c>
      <c r="E1608" t="inlineStr">
        <is>
          <t>VÄXJÖ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33327-2024</t>
        </is>
      </c>
      <c r="B1609" s="1" t="n">
        <v>45519</v>
      </c>
      <c r="C1609" s="1" t="n">
        <v>45791</v>
      </c>
      <c r="D1609" t="inlineStr">
        <is>
          <t>KRONOBERGS LÄN</t>
        </is>
      </c>
      <c r="E1609" t="inlineStr">
        <is>
          <t>VÄXJÖ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34070-2024</t>
        </is>
      </c>
      <c r="B1610" s="1" t="n">
        <v>45523</v>
      </c>
      <c r="C1610" s="1" t="n">
        <v>45791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34201-2024</t>
        </is>
      </c>
      <c r="B1611" s="1" t="n">
        <v>45524</v>
      </c>
      <c r="C1611" s="1" t="n">
        <v>45791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34309-2024</t>
        </is>
      </c>
      <c r="B1612" s="1" t="n">
        <v>45524</v>
      </c>
      <c r="C1612" s="1" t="n">
        <v>45791</v>
      </c>
      <c r="D1612" t="inlineStr">
        <is>
          <t>KRONOBERGS LÄN</t>
        </is>
      </c>
      <c r="E1612" t="inlineStr">
        <is>
          <t>VÄXJÖ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34773-2024</t>
        </is>
      </c>
      <c r="B1613" s="1" t="n">
        <v>45526</v>
      </c>
      <c r="C1613" s="1" t="n">
        <v>45791</v>
      </c>
      <c r="D1613" t="inlineStr">
        <is>
          <t>KRONOBERGS LÄN</t>
        </is>
      </c>
      <c r="E1613" t="inlineStr">
        <is>
          <t>VÄXJÖ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35139-2024</t>
        </is>
      </c>
      <c r="B1614" s="1" t="n">
        <v>45530</v>
      </c>
      <c r="C1614" s="1" t="n">
        <v>45791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35272-2024</t>
        </is>
      </c>
      <c r="B1615" s="1" t="n">
        <v>45530</v>
      </c>
      <c r="C1615" s="1" t="n">
        <v>45791</v>
      </c>
      <c r="D1615" t="inlineStr">
        <is>
          <t>KRONOBERGS LÄN</t>
        </is>
      </c>
      <c r="E1615" t="inlineStr">
        <is>
          <t>VÄXJÖ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35778-2024</t>
        </is>
      </c>
      <c r="B1616" s="1" t="n">
        <v>45532</v>
      </c>
      <c r="C1616" s="1" t="n">
        <v>45791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35896-2024</t>
        </is>
      </c>
      <c r="B1617" s="1" t="n">
        <v>45533</v>
      </c>
      <c r="C1617" s="1" t="n">
        <v>45791</v>
      </c>
      <c r="D1617" t="inlineStr">
        <is>
          <t>KRONOBERGS LÄN</t>
        </is>
      </c>
      <c r="E1617" t="inlineStr">
        <is>
          <t>VÄXJÖ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35902-2024</t>
        </is>
      </c>
      <c r="B1618" s="1" t="n">
        <v>45533</v>
      </c>
      <c r="C1618" s="1" t="n">
        <v>45791</v>
      </c>
      <c r="D1618" t="inlineStr">
        <is>
          <t>KRONOBERGS LÄN</t>
        </is>
      </c>
      <c r="E1618" t="inlineStr">
        <is>
          <t>VÄXJÖ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35934-2024</t>
        </is>
      </c>
      <c r="B1619" s="1" t="n">
        <v>45533</v>
      </c>
      <c r="C1619" s="1" t="n">
        <v>45791</v>
      </c>
      <c r="D1619" t="inlineStr">
        <is>
          <t>KRONOBERGS LÄN</t>
        </is>
      </c>
      <c r="E1619" t="inlineStr">
        <is>
          <t>VÄXJÖ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35978-2024</t>
        </is>
      </c>
      <c r="B1620" s="1" t="n">
        <v>45533</v>
      </c>
      <c r="C1620" s="1" t="n">
        <v>45791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36054-2024</t>
        </is>
      </c>
      <c r="B1621" s="1" t="n">
        <v>45533</v>
      </c>
      <c r="C1621" s="1" t="n">
        <v>45791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36065-2024</t>
        </is>
      </c>
      <c r="B1622" s="1" t="n">
        <v>45533</v>
      </c>
      <c r="C1622" s="1" t="n">
        <v>45791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35972-2024</t>
        </is>
      </c>
      <c r="B1623" s="1" t="n">
        <v>45533</v>
      </c>
      <c r="C1623" s="1" t="n">
        <v>45791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36056-2024</t>
        </is>
      </c>
      <c r="B1624" s="1" t="n">
        <v>45533</v>
      </c>
      <c r="C1624" s="1" t="n">
        <v>45791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36235-2024</t>
        </is>
      </c>
      <c r="B1625" s="1" t="n">
        <v>45534</v>
      </c>
      <c r="C1625" s="1" t="n">
        <v>45791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36267-2024</t>
        </is>
      </c>
      <c r="B1626" s="1" t="n">
        <v>45534</v>
      </c>
      <c r="C1626" s="1" t="n">
        <v>45791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36290-2024</t>
        </is>
      </c>
      <c r="B1627" s="1" t="n">
        <v>45534</v>
      </c>
      <c r="C1627" s="1" t="n">
        <v>45791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36375-2024</t>
        </is>
      </c>
      <c r="B1628" s="1" t="n">
        <v>45534</v>
      </c>
      <c r="C1628" s="1" t="n">
        <v>45791</v>
      </c>
      <c r="D1628" t="inlineStr">
        <is>
          <t>KRONOBERGS LÄN</t>
        </is>
      </c>
      <c r="E1628" t="inlineStr">
        <is>
          <t>VÄXJÖ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36650-2024</t>
        </is>
      </c>
      <c r="B1629" s="1" t="n">
        <v>45537</v>
      </c>
      <c r="C1629" s="1" t="n">
        <v>45791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36548-2024</t>
        </is>
      </c>
      <c r="B1630" s="1" t="n">
        <v>45537</v>
      </c>
      <c r="C1630" s="1" t="n">
        <v>45791</v>
      </c>
      <c r="D1630" t="inlineStr">
        <is>
          <t>KRONOBERGS LÄN</t>
        </is>
      </c>
      <c r="E1630" t="inlineStr">
        <is>
          <t>VÄXJÖ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36643-2024</t>
        </is>
      </c>
      <c r="B1631" s="1" t="n">
        <v>45537</v>
      </c>
      <c r="C1631" s="1" t="n">
        <v>45791</v>
      </c>
      <c r="D1631" t="inlineStr">
        <is>
          <t>KRONOBERGS LÄN</t>
        </is>
      </c>
      <c r="E1631" t="inlineStr">
        <is>
          <t>VÄXJÖ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36720-2024</t>
        </is>
      </c>
      <c r="B1632" s="1" t="n">
        <v>45537</v>
      </c>
      <c r="C1632" s="1" t="n">
        <v>45791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36723-2024</t>
        </is>
      </c>
      <c r="B1633" s="1" t="n">
        <v>45537</v>
      </c>
      <c r="C1633" s="1" t="n">
        <v>45791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36745-2024</t>
        </is>
      </c>
      <c r="B1634" s="1" t="n">
        <v>45538</v>
      </c>
      <c r="C1634" s="1" t="n">
        <v>45791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36848-2024</t>
        </is>
      </c>
      <c r="B1635" s="1" t="n">
        <v>45538</v>
      </c>
      <c r="C1635" s="1" t="n">
        <v>45791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36919-2024</t>
        </is>
      </c>
      <c r="B1636" s="1" t="n">
        <v>45538</v>
      </c>
      <c r="C1636" s="1" t="n">
        <v>45791</v>
      </c>
      <c r="D1636" t="inlineStr">
        <is>
          <t>KRONOBERGS LÄN</t>
        </is>
      </c>
      <c r="E1636" t="inlineStr">
        <is>
          <t>VÄXJÖ</t>
        </is>
      </c>
      <c r="F1636" t="inlineStr">
        <is>
          <t>Kyrkan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37179-2024</t>
        </is>
      </c>
      <c r="B1637" s="1" t="n">
        <v>45539</v>
      </c>
      <c r="C1637" s="1" t="n">
        <v>45791</v>
      </c>
      <c r="D1637" t="inlineStr">
        <is>
          <t>KRONOBERGS LÄN</t>
        </is>
      </c>
      <c r="E1637" t="inlineStr">
        <is>
          <t>VÄXJÖ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37287-2024</t>
        </is>
      </c>
      <c r="B1638" s="1" t="n">
        <v>45540</v>
      </c>
      <c r="C1638" s="1" t="n">
        <v>45791</v>
      </c>
      <c r="D1638" t="inlineStr">
        <is>
          <t>KRONOBERGS LÄN</t>
        </is>
      </c>
      <c r="E1638" t="inlineStr">
        <is>
          <t>VÄXJÖ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37432-2024</t>
        </is>
      </c>
      <c r="B1639" s="1" t="n">
        <v>45540</v>
      </c>
      <c r="C1639" s="1" t="n">
        <v>45791</v>
      </c>
      <c r="D1639" t="inlineStr">
        <is>
          <t>KRONOBERGS LÄN</t>
        </is>
      </c>
      <c r="E1639" t="inlineStr">
        <is>
          <t>VÄXJÖ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37375-2024</t>
        </is>
      </c>
      <c r="B1640" s="1" t="n">
        <v>45540</v>
      </c>
      <c r="C1640" s="1" t="n">
        <v>45791</v>
      </c>
      <c r="D1640" t="inlineStr">
        <is>
          <t>KRONOBERGS LÄN</t>
        </is>
      </c>
      <c r="E1640" t="inlineStr">
        <is>
          <t>VÄXJÖ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37694-2024</t>
        </is>
      </c>
      <c r="B1641" s="1" t="n">
        <v>45541</v>
      </c>
      <c r="C1641" s="1" t="n">
        <v>45791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37702-2024</t>
        </is>
      </c>
      <c r="B1642" s="1" t="n">
        <v>45541</v>
      </c>
      <c r="C1642" s="1" t="n">
        <v>45791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37755-2024</t>
        </is>
      </c>
      <c r="B1643" s="1" t="n">
        <v>45541</v>
      </c>
      <c r="C1643" s="1" t="n">
        <v>45791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37944-2024</t>
        </is>
      </c>
      <c r="B1644" s="1" t="n">
        <v>45544</v>
      </c>
      <c r="C1644" s="1" t="n">
        <v>45791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37899-2024</t>
        </is>
      </c>
      <c r="B1645" s="1" t="n">
        <v>45544</v>
      </c>
      <c r="C1645" s="1" t="n">
        <v>45791</v>
      </c>
      <c r="D1645" t="inlineStr">
        <is>
          <t>KRONOBERGS LÄN</t>
        </is>
      </c>
      <c r="E1645" t="inlineStr">
        <is>
          <t>VÄXJÖ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38322-2024</t>
        </is>
      </c>
      <c r="B1646" s="1" t="n">
        <v>45545</v>
      </c>
      <c r="C1646" s="1" t="n">
        <v>45791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38316-2024</t>
        </is>
      </c>
      <c r="B1647" s="1" t="n">
        <v>45545</v>
      </c>
      <c r="C1647" s="1" t="n">
        <v>45791</v>
      </c>
      <c r="D1647" t="inlineStr">
        <is>
          <t>KRONOBERGS LÄN</t>
        </is>
      </c>
      <c r="E1647" t="inlineStr">
        <is>
          <t>VÄXJÖ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38481-2024</t>
        </is>
      </c>
      <c r="B1648" s="1" t="n">
        <v>45546</v>
      </c>
      <c r="C1648" s="1" t="n">
        <v>45791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38479-2024</t>
        </is>
      </c>
      <c r="B1649" s="1" t="n">
        <v>45546</v>
      </c>
      <c r="C1649" s="1" t="n">
        <v>45791</v>
      </c>
      <c r="D1649" t="inlineStr">
        <is>
          <t>KRONOBERGS LÄN</t>
        </is>
      </c>
      <c r="E1649" t="inlineStr">
        <is>
          <t>VÄXJÖ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38519-2024</t>
        </is>
      </c>
      <c r="B1650" s="1" t="n">
        <v>45546</v>
      </c>
      <c r="C1650" s="1" t="n">
        <v>45791</v>
      </c>
      <c r="D1650" t="inlineStr">
        <is>
          <t>KRONOBERGS LÄN</t>
        </is>
      </c>
      <c r="E1650" t="inlineStr">
        <is>
          <t>VÄXJÖ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38892-2024</t>
        </is>
      </c>
      <c r="B1651" s="1" t="n">
        <v>45547</v>
      </c>
      <c r="C1651" s="1" t="n">
        <v>45791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38891-2024</t>
        </is>
      </c>
      <c r="B1652" s="1" t="n">
        <v>45547</v>
      </c>
      <c r="C1652" s="1" t="n">
        <v>45791</v>
      </c>
      <c r="D1652" t="inlineStr">
        <is>
          <t>KRONOBERGS LÄN</t>
        </is>
      </c>
      <c r="E1652" t="inlineStr">
        <is>
          <t>VÄXJÖ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38895-2024</t>
        </is>
      </c>
      <c r="B1653" s="1" t="n">
        <v>45547</v>
      </c>
      <c r="C1653" s="1" t="n">
        <v>45791</v>
      </c>
      <c r="D1653" t="inlineStr">
        <is>
          <t>KRONOBERGS LÄN</t>
        </is>
      </c>
      <c r="E1653" t="inlineStr">
        <is>
          <t>VÄXJÖ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39073-2024</t>
        </is>
      </c>
      <c r="B1654" s="1" t="n">
        <v>45548</v>
      </c>
      <c r="C1654" s="1" t="n">
        <v>45791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39478-2024</t>
        </is>
      </c>
      <c r="B1655" s="1" t="n">
        <v>45551</v>
      </c>
      <c r="C1655" s="1" t="n">
        <v>45791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39761-2024</t>
        </is>
      </c>
      <c r="B1656" s="1" t="n">
        <v>45552</v>
      </c>
      <c r="C1656" s="1" t="n">
        <v>45791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39689-2024</t>
        </is>
      </c>
      <c r="B1657" s="1" t="n">
        <v>45552</v>
      </c>
      <c r="C1657" s="1" t="n">
        <v>45791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39919-2024</t>
        </is>
      </c>
      <c r="B1658" s="1" t="n">
        <v>45553</v>
      </c>
      <c r="C1658" s="1" t="n">
        <v>45791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40239-2024</t>
        </is>
      </c>
      <c r="B1659" s="1" t="n">
        <v>45554</v>
      </c>
      <c r="C1659" s="1" t="n">
        <v>45791</v>
      </c>
      <c r="D1659" t="inlineStr">
        <is>
          <t>KRONOBERGS LÄN</t>
        </is>
      </c>
      <c r="E1659" t="inlineStr">
        <is>
          <t>VÄXJÖ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40146-2024</t>
        </is>
      </c>
      <c r="B1660" s="1" t="n">
        <v>45554</v>
      </c>
      <c r="C1660" s="1" t="n">
        <v>45791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40249-2024</t>
        </is>
      </c>
      <c r="B1661" s="1" t="n">
        <v>45554</v>
      </c>
      <c r="C1661" s="1" t="n">
        <v>45791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40525-2024</t>
        </is>
      </c>
      <c r="B1662" s="1" t="n">
        <v>45555</v>
      </c>
      <c r="C1662" s="1" t="n">
        <v>45791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40482-2024</t>
        </is>
      </c>
      <c r="B1663" s="1" t="n">
        <v>45555</v>
      </c>
      <c r="C1663" s="1" t="n">
        <v>45791</v>
      </c>
      <c r="D1663" t="inlineStr">
        <is>
          <t>KRONOBERGS LÄN</t>
        </is>
      </c>
      <c r="E1663" t="inlineStr">
        <is>
          <t>VÄXJÖ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40494-2024</t>
        </is>
      </c>
      <c r="B1664" s="1" t="n">
        <v>45555</v>
      </c>
      <c r="C1664" s="1" t="n">
        <v>45791</v>
      </c>
      <c r="D1664" t="inlineStr">
        <is>
          <t>KRONOBERGS LÄN</t>
        </is>
      </c>
      <c r="E1664" t="inlineStr">
        <is>
          <t>VÄXJÖ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40506-2024</t>
        </is>
      </c>
      <c r="B1665" s="1" t="n">
        <v>45555</v>
      </c>
      <c r="C1665" s="1" t="n">
        <v>45791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40621-2024</t>
        </is>
      </c>
      <c r="B1666" s="1" t="n">
        <v>45557</v>
      </c>
      <c r="C1666" s="1" t="n">
        <v>45791</v>
      </c>
      <c r="D1666" t="inlineStr">
        <is>
          <t>KRONOBERGS LÄN</t>
        </is>
      </c>
      <c r="E1666" t="inlineStr">
        <is>
          <t>VÄXJÖ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40622-2024</t>
        </is>
      </c>
      <c r="B1667" s="1" t="n">
        <v>45557</v>
      </c>
      <c r="C1667" s="1" t="n">
        <v>45791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40618-2024</t>
        </is>
      </c>
      <c r="B1668" s="1" t="n">
        <v>45557</v>
      </c>
      <c r="C1668" s="1" t="n">
        <v>45791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40674-2024</t>
        </is>
      </c>
      <c r="B1669" s="1" t="n">
        <v>45558</v>
      </c>
      <c r="C1669" s="1" t="n">
        <v>45791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40972-2024</t>
        </is>
      </c>
      <c r="B1670" s="1" t="n">
        <v>45558</v>
      </c>
      <c r="C1670" s="1" t="n">
        <v>45791</v>
      </c>
      <c r="D1670" t="inlineStr">
        <is>
          <t>KRONOBERGS LÄN</t>
        </is>
      </c>
      <c r="E1670" t="inlineStr">
        <is>
          <t>VÄXJÖ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41019-2024</t>
        </is>
      </c>
      <c r="B1671" s="1" t="n">
        <v>45559</v>
      </c>
      <c r="C1671" s="1" t="n">
        <v>45791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41149-2024</t>
        </is>
      </c>
      <c r="B1672" s="1" t="n">
        <v>45559</v>
      </c>
      <c r="C1672" s="1" t="n">
        <v>45791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41482-2024</t>
        </is>
      </c>
      <c r="B1673" s="1" t="n">
        <v>45560</v>
      </c>
      <c r="C1673" s="1" t="n">
        <v>45791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41500-2024</t>
        </is>
      </c>
      <c r="B1674" s="1" t="n">
        <v>45560</v>
      </c>
      <c r="C1674" s="1" t="n">
        <v>45791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42002-2024</t>
        </is>
      </c>
      <c r="B1675" s="1" t="n">
        <v>45561</v>
      </c>
      <c r="C1675" s="1" t="n">
        <v>45791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41924-2024</t>
        </is>
      </c>
      <c r="B1676" s="1" t="n">
        <v>45561</v>
      </c>
      <c r="C1676" s="1" t="n">
        <v>45791</v>
      </c>
      <c r="D1676" t="inlineStr">
        <is>
          <t>KRONOBERGS LÄN</t>
        </is>
      </c>
      <c r="E1676" t="inlineStr">
        <is>
          <t>VÄXJÖ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42342-2024</t>
        </is>
      </c>
      <c r="B1677" s="1" t="n">
        <v>45562</v>
      </c>
      <c r="C1677" s="1" t="n">
        <v>45791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43254-2024</t>
        </is>
      </c>
      <c r="B1678" s="1" t="n">
        <v>45568</v>
      </c>
      <c r="C1678" s="1" t="n">
        <v>45791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43252-2024</t>
        </is>
      </c>
      <c r="B1679" s="1" t="n">
        <v>45568</v>
      </c>
      <c r="C1679" s="1" t="n">
        <v>45791</v>
      </c>
      <c r="D1679" t="inlineStr">
        <is>
          <t>KRONOBERGS LÄN</t>
        </is>
      </c>
      <c r="E1679" t="inlineStr">
        <is>
          <t>VÄXJÖ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43963-2024</t>
        </is>
      </c>
      <c r="B1680" s="1" t="n">
        <v>45572</v>
      </c>
      <c r="C1680" s="1" t="n">
        <v>45791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44175-2024</t>
        </is>
      </c>
      <c r="B1681" s="1" t="n">
        <v>45572</v>
      </c>
      <c r="C1681" s="1" t="n">
        <v>45791</v>
      </c>
      <c r="D1681" t="inlineStr">
        <is>
          <t>KRONOBERGS LÄN</t>
        </is>
      </c>
      <c r="E1681" t="inlineStr">
        <is>
          <t>VÄXJÖ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44177-2024</t>
        </is>
      </c>
      <c r="B1682" s="1" t="n">
        <v>45572</v>
      </c>
      <c r="C1682" s="1" t="n">
        <v>45791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44050-2024</t>
        </is>
      </c>
      <c r="B1683" s="1" t="n">
        <v>45572</v>
      </c>
      <c r="C1683" s="1" t="n">
        <v>45791</v>
      </c>
      <c r="D1683" t="inlineStr">
        <is>
          <t>KRONOBERGS LÄN</t>
        </is>
      </c>
      <c r="E1683" t="inlineStr">
        <is>
          <t>VÄXJÖ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43878-2024</t>
        </is>
      </c>
      <c r="B1684" s="1" t="n">
        <v>45572</v>
      </c>
      <c r="C1684" s="1" t="n">
        <v>45791</v>
      </c>
      <c r="D1684" t="inlineStr">
        <is>
          <t>KRONOBERGS LÄN</t>
        </is>
      </c>
      <c r="E1684" t="inlineStr">
        <is>
          <t>VÄXJÖ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44116-2024</t>
        </is>
      </c>
      <c r="B1685" s="1" t="n">
        <v>45572</v>
      </c>
      <c r="C1685" s="1" t="n">
        <v>45791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44427-2024</t>
        </is>
      </c>
      <c r="B1686" s="1" t="n">
        <v>45574</v>
      </c>
      <c r="C1686" s="1" t="n">
        <v>45791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44426-2024</t>
        </is>
      </c>
      <c r="B1687" s="1" t="n">
        <v>45574</v>
      </c>
      <c r="C1687" s="1" t="n">
        <v>45791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44564-2024</t>
        </is>
      </c>
      <c r="B1688" s="1" t="n">
        <v>45574</v>
      </c>
      <c r="C1688" s="1" t="n">
        <v>45791</v>
      </c>
      <c r="D1688" t="inlineStr">
        <is>
          <t>KRONOBERGS LÄN</t>
        </is>
      </c>
      <c r="E1688" t="inlineStr">
        <is>
          <t>VÄXJÖ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45454-2024</t>
        </is>
      </c>
      <c r="B1689" s="1" t="n">
        <v>45576</v>
      </c>
      <c r="C1689" s="1" t="n">
        <v>45791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45456-2024</t>
        </is>
      </c>
      <c r="B1690" s="1" t="n">
        <v>45576</v>
      </c>
      <c r="C1690" s="1" t="n">
        <v>45791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45461-2024</t>
        </is>
      </c>
      <c r="B1691" s="1" t="n">
        <v>45576</v>
      </c>
      <c r="C1691" s="1" t="n">
        <v>45791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45623-2024</t>
        </is>
      </c>
      <c r="B1692" s="1" t="n">
        <v>45579</v>
      </c>
      <c r="C1692" s="1" t="n">
        <v>45791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45741-2024</t>
        </is>
      </c>
      <c r="B1693" s="1" t="n">
        <v>45579</v>
      </c>
      <c r="C1693" s="1" t="n">
        <v>45791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45579-2024</t>
        </is>
      </c>
      <c r="B1694" s="1" t="n">
        <v>45579</v>
      </c>
      <c r="C1694" s="1" t="n">
        <v>45791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45624-2024</t>
        </is>
      </c>
      <c r="B1695" s="1" t="n">
        <v>45579</v>
      </c>
      <c r="C1695" s="1" t="n">
        <v>45791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46044-2024</t>
        </is>
      </c>
      <c r="B1696" s="1" t="n">
        <v>45580</v>
      </c>
      <c r="C1696" s="1" t="n">
        <v>45791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46042-2024</t>
        </is>
      </c>
      <c r="B1697" s="1" t="n">
        <v>45580</v>
      </c>
      <c r="C1697" s="1" t="n">
        <v>45791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46045-2024</t>
        </is>
      </c>
      <c r="B1698" s="1" t="n">
        <v>45580</v>
      </c>
      <c r="C1698" s="1" t="n">
        <v>45791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45882-2024</t>
        </is>
      </c>
      <c r="B1699" s="1" t="n">
        <v>45580</v>
      </c>
      <c r="C1699" s="1" t="n">
        <v>45791</v>
      </c>
      <c r="D1699" t="inlineStr">
        <is>
          <t>KRONOBERGS LÄN</t>
        </is>
      </c>
      <c r="E1699" t="inlineStr">
        <is>
          <t>VÄXJÖ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46043-2024</t>
        </is>
      </c>
      <c r="B1700" s="1" t="n">
        <v>45580</v>
      </c>
      <c r="C1700" s="1" t="n">
        <v>45791</v>
      </c>
      <c r="D1700" t="inlineStr">
        <is>
          <t>KRONOBERGS LÄN</t>
        </is>
      </c>
      <c r="E1700" t="inlineStr">
        <is>
          <t>VÄXJÖ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46314-2024</t>
        </is>
      </c>
      <c r="B1701" s="1" t="n">
        <v>45581</v>
      </c>
      <c r="C1701" s="1" t="n">
        <v>45791</v>
      </c>
      <c r="D1701" t="inlineStr">
        <is>
          <t>KRONOBERGS LÄN</t>
        </is>
      </c>
      <c r="E1701" t="inlineStr">
        <is>
          <t>VÄXJÖ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46214-2024</t>
        </is>
      </c>
      <c r="B1702" s="1" t="n">
        <v>45581</v>
      </c>
      <c r="C1702" s="1" t="n">
        <v>45791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46589-2024</t>
        </is>
      </c>
      <c r="B1703" s="1" t="n">
        <v>45582</v>
      </c>
      <c r="C1703" s="1" t="n">
        <v>45791</v>
      </c>
      <c r="D1703" t="inlineStr">
        <is>
          <t>KRONOBERGS LÄN</t>
        </is>
      </c>
      <c r="E1703" t="inlineStr">
        <is>
          <t>VÄXJÖ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46962-2024</t>
        </is>
      </c>
      <c r="B1704" s="1" t="n">
        <v>45583</v>
      </c>
      <c r="C1704" s="1" t="n">
        <v>45791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46742-2024</t>
        </is>
      </c>
      <c r="B1705" s="1" t="n">
        <v>45583</v>
      </c>
      <c r="C1705" s="1" t="n">
        <v>45791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46964-2024</t>
        </is>
      </c>
      <c r="B1706" s="1" t="n">
        <v>45583</v>
      </c>
      <c r="C1706" s="1" t="n">
        <v>45791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46963-2024</t>
        </is>
      </c>
      <c r="B1707" s="1" t="n">
        <v>45583</v>
      </c>
      <c r="C1707" s="1" t="n">
        <v>45791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47275-2024</t>
        </is>
      </c>
      <c r="B1708" s="1" t="n">
        <v>45586</v>
      </c>
      <c r="C1708" s="1" t="n">
        <v>45791</v>
      </c>
      <c r="D1708" t="inlineStr">
        <is>
          <t>KRONOBERGS LÄN</t>
        </is>
      </c>
      <c r="E1708" t="inlineStr">
        <is>
          <t>VÄXJÖ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47486-2024</t>
        </is>
      </c>
      <c r="B1709" s="1" t="n">
        <v>45587</v>
      </c>
      <c r="C1709" s="1" t="n">
        <v>45791</v>
      </c>
      <c r="D1709" t="inlineStr">
        <is>
          <t>KRONOBERGS LÄN</t>
        </is>
      </c>
      <c r="E1709" t="inlineStr">
        <is>
          <t>VÄXJÖ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47460-2024</t>
        </is>
      </c>
      <c r="B1710" s="1" t="n">
        <v>45587</v>
      </c>
      <c r="C1710" s="1" t="n">
        <v>45791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48598-2024</t>
        </is>
      </c>
      <c r="B1711" s="1" t="n">
        <v>45593</v>
      </c>
      <c r="C1711" s="1" t="n">
        <v>45791</v>
      </c>
      <c r="D1711" t="inlineStr">
        <is>
          <t>KRONOBERGS LÄN</t>
        </is>
      </c>
      <c r="E1711" t="inlineStr">
        <is>
          <t>VÄXJÖ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49003-2024</t>
        </is>
      </c>
      <c r="B1712" s="1" t="n">
        <v>45594</v>
      </c>
      <c r="C1712" s="1" t="n">
        <v>45791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49007-2024</t>
        </is>
      </c>
      <c r="B1713" s="1" t="n">
        <v>45594</v>
      </c>
      <c r="C1713" s="1" t="n">
        <v>45791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49015-2024</t>
        </is>
      </c>
      <c r="B1714" s="1" t="n">
        <v>45594</v>
      </c>
      <c r="C1714" s="1" t="n">
        <v>45791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48996-2024</t>
        </is>
      </c>
      <c r="B1715" s="1" t="n">
        <v>45594</v>
      </c>
      <c r="C1715" s="1" t="n">
        <v>45791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49000-2024</t>
        </is>
      </c>
      <c r="B1716" s="1" t="n">
        <v>45594</v>
      </c>
      <c r="C1716" s="1" t="n">
        <v>45791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49004-2024</t>
        </is>
      </c>
      <c r="B1717" s="1" t="n">
        <v>45594</v>
      </c>
      <c r="C1717" s="1" t="n">
        <v>45791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49008-2024</t>
        </is>
      </c>
      <c r="B1718" s="1" t="n">
        <v>45594</v>
      </c>
      <c r="C1718" s="1" t="n">
        <v>45791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49001-2024</t>
        </is>
      </c>
      <c r="B1719" s="1" t="n">
        <v>45594</v>
      </c>
      <c r="C1719" s="1" t="n">
        <v>45791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49005-2024</t>
        </is>
      </c>
      <c r="B1720" s="1" t="n">
        <v>45594</v>
      </c>
      <c r="C1720" s="1" t="n">
        <v>45791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49009-2024</t>
        </is>
      </c>
      <c r="B1721" s="1" t="n">
        <v>45594</v>
      </c>
      <c r="C1721" s="1" t="n">
        <v>45791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49013-2024</t>
        </is>
      </c>
      <c r="B1722" s="1" t="n">
        <v>45594</v>
      </c>
      <c r="C1722" s="1" t="n">
        <v>45791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49017-2024</t>
        </is>
      </c>
      <c r="B1723" s="1" t="n">
        <v>45594</v>
      </c>
      <c r="C1723" s="1" t="n">
        <v>45791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49021-2024</t>
        </is>
      </c>
      <c r="B1724" s="1" t="n">
        <v>45594</v>
      </c>
      <c r="C1724" s="1" t="n">
        <v>45791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49025-2024</t>
        </is>
      </c>
      <c r="B1725" s="1" t="n">
        <v>45594</v>
      </c>
      <c r="C1725" s="1" t="n">
        <v>45791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49086-2024</t>
        </is>
      </c>
      <c r="B1726" s="1" t="n">
        <v>45594</v>
      </c>
      <c r="C1726" s="1" t="n">
        <v>45791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49090-2024</t>
        </is>
      </c>
      <c r="B1727" s="1" t="n">
        <v>45594</v>
      </c>
      <c r="C1727" s="1" t="n">
        <v>45791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49020-2024</t>
        </is>
      </c>
      <c r="B1728" s="1" t="n">
        <v>45594</v>
      </c>
      <c r="C1728" s="1" t="n">
        <v>45791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49024-2024</t>
        </is>
      </c>
      <c r="B1729" s="1" t="n">
        <v>45594</v>
      </c>
      <c r="C1729" s="1" t="n">
        <v>45791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49089-2024</t>
        </is>
      </c>
      <c r="B1730" s="1" t="n">
        <v>45594</v>
      </c>
      <c r="C1730" s="1" t="n">
        <v>45791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49002-2024</t>
        </is>
      </c>
      <c r="B1731" s="1" t="n">
        <v>45594</v>
      </c>
      <c r="C1731" s="1" t="n">
        <v>45791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49006-2024</t>
        </is>
      </c>
      <c r="B1732" s="1" t="n">
        <v>45594</v>
      </c>
      <c r="C1732" s="1" t="n">
        <v>45791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49010-2024</t>
        </is>
      </c>
      <c r="B1733" s="1" t="n">
        <v>45594</v>
      </c>
      <c r="C1733" s="1" t="n">
        <v>45791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49014-2024</t>
        </is>
      </c>
      <c r="B1734" s="1" t="n">
        <v>45594</v>
      </c>
      <c r="C1734" s="1" t="n">
        <v>45791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49018-2024</t>
        </is>
      </c>
      <c r="B1735" s="1" t="n">
        <v>45594</v>
      </c>
      <c r="C1735" s="1" t="n">
        <v>45791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49022-2024</t>
        </is>
      </c>
      <c r="B1736" s="1" t="n">
        <v>45594</v>
      </c>
      <c r="C1736" s="1" t="n">
        <v>45791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49026-2024</t>
        </is>
      </c>
      <c r="B1737" s="1" t="n">
        <v>45594</v>
      </c>
      <c r="C1737" s="1" t="n">
        <v>45791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49087-2024</t>
        </is>
      </c>
      <c r="B1738" s="1" t="n">
        <v>45594</v>
      </c>
      <c r="C1738" s="1" t="n">
        <v>45791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49817-2024</t>
        </is>
      </c>
      <c r="B1739" s="1" t="n">
        <v>45597</v>
      </c>
      <c r="C1739" s="1" t="n">
        <v>45791</v>
      </c>
      <c r="D1739" t="inlineStr">
        <is>
          <t>KRONOBERGS LÄN</t>
        </is>
      </c>
      <c r="E1739" t="inlineStr">
        <is>
          <t>VÄXJÖ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49975-2024</t>
        </is>
      </c>
      <c r="B1740" s="1" t="n">
        <v>45597</v>
      </c>
      <c r="C1740" s="1" t="n">
        <v>45791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50086-2024</t>
        </is>
      </c>
      <c r="B1741" s="1" t="n">
        <v>45597</v>
      </c>
      <c r="C1741" s="1" t="n">
        <v>45791</v>
      </c>
      <c r="D1741" t="inlineStr">
        <is>
          <t>KRONOBERGS LÄN</t>
        </is>
      </c>
      <c r="E1741" t="inlineStr">
        <is>
          <t>VÄXJÖ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50017-2024</t>
        </is>
      </c>
      <c r="B1742" s="1" t="n">
        <v>45599</v>
      </c>
      <c r="C1742" s="1" t="n">
        <v>45791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50664-2024</t>
        </is>
      </c>
      <c r="B1743" s="1" t="n">
        <v>45601</v>
      </c>
      <c r="C1743" s="1" t="n">
        <v>45791</v>
      </c>
      <c r="D1743" t="inlineStr">
        <is>
          <t>KRONOBERGS LÄN</t>
        </is>
      </c>
      <c r="E1743" t="inlineStr">
        <is>
          <t>VÄXJÖ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50666-2024</t>
        </is>
      </c>
      <c r="B1744" s="1" t="n">
        <v>45601</v>
      </c>
      <c r="C1744" s="1" t="n">
        <v>45791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50481-2024</t>
        </is>
      </c>
      <c r="B1745" s="1" t="n">
        <v>45601</v>
      </c>
      <c r="C1745" s="1" t="n">
        <v>45791</v>
      </c>
      <c r="D1745" t="inlineStr">
        <is>
          <t>KRONOBERGS LÄN</t>
        </is>
      </c>
      <c r="E1745" t="inlineStr">
        <is>
          <t>VÄXJÖ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50465-2024</t>
        </is>
      </c>
      <c r="B1746" s="1" t="n">
        <v>45601</v>
      </c>
      <c r="C1746" s="1" t="n">
        <v>45791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51342-2024</t>
        </is>
      </c>
      <c r="B1747" s="1" t="n">
        <v>45604</v>
      </c>
      <c r="C1747" s="1" t="n">
        <v>45791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52207-2024</t>
        </is>
      </c>
      <c r="B1748" s="1" t="n">
        <v>45608</v>
      </c>
      <c r="C1748" s="1" t="n">
        <v>45791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52212-2024</t>
        </is>
      </c>
      <c r="B1749" s="1" t="n">
        <v>45608</v>
      </c>
      <c r="C1749" s="1" t="n">
        <v>45791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52106-2024</t>
        </is>
      </c>
      <c r="B1750" s="1" t="n">
        <v>45608</v>
      </c>
      <c r="C1750" s="1" t="n">
        <v>45791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52191-2024</t>
        </is>
      </c>
      <c r="B1751" s="1" t="n">
        <v>45608</v>
      </c>
      <c r="C1751" s="1" t="n">
        <v>45791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52878-2024</t>
        </is>
      </c>
      <c r="B1752" s="1" t="n">
        <v>45610</v>
      </c>
      <c r="C1752" s="1" t="n">
        <v>45791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53196-2024</t>
        </is>
      </c>
      <c r="B1753" s="1" t="n">
        <v>45611</v>
      </c>
      <c r="C1753" s="1" t="n">
        <v>45791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53189-2024</t>
        </is>
      </c>
      <c r="B1754" s="1" t="n">
        <v>45611</v>
      </c>
      <c r="C1754" s="1" t="n">
        <v>45791</v>
      </c>
      <c r="D1754" t="inlineStr">
        <is>
          <t>KRONOBERGS LÄN</t>
        </is>
      </c>
      <c r="E1754" t="inlineStr">
        <is>
          <t>VÄXJÖ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53188-2024</t>
        </is>
      </c>
      <c r="B1755" s="1" t="n">
        <v>45611</v>
      </c>
      <c r="C1755" s="1" t="n">
        <v>45791</v>
      </c>
      <c r="D1755" t="inlineStr">
        <is>
          <t>KRONOBERGS LÄN</t>
        </is>
      </c>
      <c r="E1755" t="inlineStr">
        <is>
          <t>VÄXJÖ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53262-2024</t>
        </is>
      </c>
      <c r="B1756" s="1" t="n">
        <v>45614</v>
      </c>
      <c r="C1756" s="1" t="n">
        <v>45791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53390-2024</t>
        </is>
      </c>
      <c r="B1757" s="1" t="n">
        <v>45614</v>
      </c>
      <c r="C1757" s="1" t="n">
        <v>45791</v>
      </c>
      <c r="D1757" t="inlineStr">
        <is>
          <t>KRONOBERGS LÄN</t>
        </is>
      </c>
      <c r="E1757" t="inlineStr">
        <is>
          <t>VÄXJÖ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53522-2024</t>
        </is>
      </c>
      <c r="B1758" s="1" t="n">
        <v>45614</v>
      </c>
      <c r="C1758" s="1" t="n">
        <v>45791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53275-2024</t>
        </is>
      </c>
      <c r="B1759" s="1" t="n">
        <v>45614</v>
      </c>
      <c r="C1759" s="1" t="n">
        <v>45791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53872-2024</t>
        </is>
      </c>
      <c r="B1760" s="1" t="n">
        <v>45615</v>
      </c>
      <c r="C1760" s="1" t="n">
        <v>45791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54410-2024</t>
        </is>
      </c>
      <c r="B1761" s="1" t="n">
        <v>45617</v>
      </c>
      <c r="C1761" s="1" t="n">
        <v>45791</v>
      </c>
      <c r="D1761" t="inlineStr">
        <is>
          <t>KRONOBERGS LÄN</t>
        </is>
      </c>
      <c r="E1761" t="inlineStr">
        <is>
          <t>VÄXJÖ</t>
        </is>
      </c>
      <c r="F1761" t="inlineStr">
        <is>
          <t>Kommuner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54616-2024</t>
        </is>
      </c>
      <c r="B1762" s="1" t="n">
        <v>45617</v>
      </c>
      <c r="C1762" s="1" t="n">
        <v>45791</v>
      </c>
      <c r="D1762" t="inlineStr">
        <is>
          <t>KRONOBERGS LÄN</t>
        </is>
      </c>
      <c r="E1762" t="inlineStr">
        <is>
          <t>VÄXJÖ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54979-2024</t>
        </is>
      </c>
      <c r="B1763" s="1" t="n">
        <v>45620</v>
      </c>
      <c r="C1763" s="1" t="n">
        <v>45791</v>
      </c>
      <c r="D1763" t="inlineStr">
        <is>
          <t>KRONOBERGS LÄN</t>
        </is>
      </c>
      <c r="E1763" t="inlineStr">
        <is>
          <t>VÄXJÖ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55517-2024</t>
        </is>
      </c>
      <c r="B1764" s="1" t="n">
        <v>45622</v>
      </c>
      <c r="C1764" s="1" t="n">
        <v>45791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55537-2024</t>
        </is>
      </c>
      <c r="B1765" s="1" t="n">
        <v>45622</v>
      </c>
      <c r="C1765" s="1" t="n">
        <v>45791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55958-2024</t>
        </is>
      </c>
      <c r="B1766" s="1" t="n">
        <v>45623</v>
      </c>
      <c r="C1766" s="1" t="n">
        <v>45791</v>
      </c>
      <c r="D1766" t="inlineStr">
        <is>
          <t>KRONOBERGS LÄN</t>
        </is>
      </c>
      <c r="E1766" t="inlineStr">
        <is>
          <t>VÄXJÖ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56825-2024</t>
        </is>
      </c>
      <c r="B1767" s="1" t="n">
        <v>45628</v>
      </c>
      <c r="C1767" s="1" t="n">
        <v>45791</v>
      </c>
      <c r="D1767" t="inlineStr">
        <is>
          <t>KRONOBERGS LÄN</t>
        </is>
      </c>
      <c r="E1767" t="inlineStr">
        <is>
          <t>VÄXJÖ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56841-2024</t>
        </is>
      </c>
      <c r="B1768" s="1" t="n">
        <v>45628</v>
      </c>
      <c r="C1768" s="1" t="n">
        <v>45791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56819-2024</t>
        </is>
      </c>
      <c r="B1769" s="1" t="n">
        <v>45628</v>
      </c>
      <c r="C1769" s="1" t="n">
        <v>45791</v>
      </c>
      <c r="D1769" t="inlineStr">
        <is>
          <t>KRONOBERGS LÄN</t>
        </is>
      </c>
      <c r="E1769" t="inlineStr">
        <is>
          <t>VÄXJÖ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57185-2024</t>
        </is>
      </c>
      <c r="B1770" s="1" t="n">
        <v>45629</v>
      </c>
      <c r="C1770" s="1" t="n">
        <v>45791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57188-2024</t>
        </is>
      </c>
      <c r="B1771" s="1" t="n">
        <v>45629</v>
      </c>
      <c r="C1771" s="1" t="n">
        <v>45791</v>
      </c>
      <c r="D1771" t="inlineStr">
        <is>
          <t>KRONOBERGS LÄN</t>
        </is>
      </c>
      <c r="E1771" t="inlineStr">
        <is>
          <t>VÄXJÖ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57672-2024</t>
        </is>
      </c>
      <c r="B1772" s="1" t="n">
        <v>45630</v>
      </c>
      <c r="C1772" s="1" t="n">
        <v>45791</v>
      </c>
      <c r="D1772" t="inlineStr">
        <is>
          <t>KRONOBERGS LÄN</t>
        </is>
      </c>
      <c r="E1772" t="inlineStr">
        <is>
          <t>VÄXJÖ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57826-2024</t>
        </is>
      </c>
      <c r="B1773" s="1" t="n">
        <v>45631</v>
      </c>
      <c r="C1773" s="1" t="n">
        <v>45791</v>
      </c>
      <c r="D1773" t="inlineStr">
        <is>
          <t>KRONOBERGS LÄN</t>
        </is>
      </c>
      <c r="E1773" t="inlineStr">
        <is>
          <t>VÄXJÖ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57834-2024</t>
        </is>
      </c>
      <c r="B1774" s="1" t="n">
        <v>45631</v>
      </c>
      <c r="C1774" s="1" t="n">
        <v>45791</v>
      </c>
      <c r="D1774" t="inlineStr">
        <is>
          <t>KRONOBERGS LÄN</t>
        </is>
      </c>
      <c r="E1774" t="inlineStr">
        <is>
          <t>VÄXJÖ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57817-2024</t>
        </is>
      </c>
      <c r="B1775" s="1" t="n">
        <v>45631</v>
      </c>
      <c r="C1775" s="1" t="n">
        <v>45791</v>
      </c>
      <c r="D1775" t="inlineStr">
        <is>
          <t>KRONOBERGS LÄN</t>
        </is>
      </c>
      <c r="E1775" t="inlineStr">
        <is>
          <t>VÄXJÖ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57979-2024</t>
        </is>
      </c>
      <c r="B1776" s="1" t="n">
        <v>45631</v>
      </c>
      <c r="C1776" s="1" t="n">
        <v>45791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58155-2024</t>
        </is>
      </c>
      <c r="B1777" s="1" t="n">
        <v>45632</v>
      </c>
      <c r="C1777" s="1" t="n">
        <v>45791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58165-2024</t>
        </is>
      </c>
      <c r="B1778" s="1" t="n">
        <v>45632</v>
      </c>
      <c r="C1778" s="1" t="n">
        <v>45791</v>
      </c>
      <c r="D1778" t="inlineStr">
        <is>
          <t>KRONOBERGS LÄN</t>
        </is>
      </c>
      <c r="E1778" t="inlineStr">
        <is>
          <t>VÄXJÖ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59146-2024</t>
        </is>
      </c>
      <c r="B1779" s="1" t="n">
        <v>45637</v>
      </c>
      <c r="C1779" s="1" t="n">
        <v>45791</v>
      </c>
      <c r="D1779" t="inlineStr">
        <is>
          <t>KRONOBERGS LÄN</t>
        </is>
      </c>
      <c r="E1779" t="inlineStr">
        <is>
          <t>VÄXJÖ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59248-2024</t>
        </is>
      </c>
      <c r="B1780" s="1" t="n">
        <v>45637</v>
      </c>
      <c r="C1780" s="1" t="n">
        <v>45791</v>
      </c>
      <c r="D1780" t="inlineStr">
        <is>
          <t>KRONOBERGS LÄN</t>
        </is>
      </c>
      <c r="E1780" t="inlineStr">
        <is>
          <t>VÄXJÖ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59366-2024</t>
        </is>
      </c>
      <c r="B1781" s="1" t="n">
        <v>45638</v>
      </c>
      <c r="C1781" s="1" t="n">
        <v>45791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59477-2024</t>
        </is>
      </c>
      <c r="B1782" s="1" t="n">
        <v>45638</v>
      </c>
      <c r="C1782" s="1" t="n">
        <v>45791</v>
      </c>
      <c r="D1782" t="inlineStr">
        <is>
          <t>KRONOBERGS LÄN</t>
        </is>
      </c>
      <c r="E1782" t="inlineStr">
        <is>
          <t>VÄXJÖ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59368-2024</t>
        </is>
      </c>
      <c r="B1783" s="1" t="n">
        <v>45638</v>
      </c>
      <c r="C1783" s="1" t="n">
        <v>45791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59866-2024</t>
        </is>
      </c>
      <c r="B1784" s="1" t="n">
        <v>45639</v>
      </c>
      <c r="C1784" s="1" t="n">
        <v>45791</v>
      </c>
      <c r="D1784" t="inlineStr">
        <is>
          <t>KRONOBERGS LÄN</t>
        </is>
      </c>
      <c r="E1784" t="inlineStr">
        <is>
          <t>VÄXJÖ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60081-2024</t>
        </is>
      </c>
      <c r="B1785" s="1" t="n">
        <v>45642</v>
      </c>
      <c r="C1785" s="1" t="n">
        <v>45791</v>
      </c>
      <c r="D1785" t="inlineStr">
        <is>
          <t>KRONOBERGS LÄN</t>
        </is>
      </c>
      <c r="E1785" t="inlineStr">
        <is>
          <t>VÄXJÖ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60010-2024</t>
        </is>
      </c>
      <c r="B1786" s="1" t="n">
        <v>45642</v>
      </c>
      <c r="C1786" s="1" t="n">
        <v>45791</v>
      </c>
      <c r="D1786" t="inlineStr">
        <is>
          <t>KRONOBERGS LÄN</t>
        </is>
      </c>
      <c r="E1786" t="inlineStr">
        <is>
          <t>VÄXJÖ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59977-2024</t>
        </is>
      </c>
      <c r="B1787" s="1" t="n">
        <v>45642</v>
      </c>
      <c r="C1787" s="1" t="n">
        <v>45791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59992-2024</t>
        </is>
      </c>
      <c r="B1788" s="1" t="n">
        <v>45642</v>
      </c>
      <c r="C1788" s="1" t="n">
        <v>45791</v>
      </c>
      <c r="D1788" t="inlineStr">
        <is>
          <t>KRONOBERGS LÄN</t>
        </is>
      </c>
      <c r="E1788" t="inlineStr">
        <is>
          <t>VÄXJÖ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45791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60784-2024</t>
        </is>
      </c>
      <c r="B1790" s="1" t="n">
        <v>45644</v>
      </c>
      <c r="C1790" s="1" t="n">
        <v>45791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60625-2024</t>
        </is>
      </c>
      <c r="B1791" s="1" t="n">
        <v>45644</v>
      </c>
      <c r="C1791" s="1" t="n">
        <v>45791</v>
      </c>
      <c r="D1791" t="inlineStr">
        <is>
          <t>KRONOBERGS LÄN</t>
        </is>
      </c>
      <c r="E1791" t="inlineStr">
        <is>
          <t>VÄXJÖ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60874-2024</t>
        </is>
      </c>
      <c r="B1792" s="1" t="n">
        <v>45644</v>
      </c>
      <c r="C1792" s="1" t="n">
        <v>45791</v>
      </c>
      <c r="D1792" t="inlineStr">
        <is>
          <t>KRONOBERGS LÄN</t>
        </is>
      </c>
      <c r="E1792" t="inlineStr">
        <is>
          <t>VÄXJÖ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60767-2024</t>
        </is>
      </c>
      <c r="B1793" s="1" t="n">
        <v>45644</v>
      </c>
      <c r="C1793" s="1" t="n">
        <v>45791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60815-2024</t>
        </is>
      </c>
      <c r="B1794" s="1" t="n">
        <v>45644</v>
      </c>
      <c r="C1794" s="1" t="n">
        <v>45791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61199-2024</t>
        </is>
      </c>
      <c r="B1795" s="1" t="n">
        <v>45645</v>
      </c>
      <c r="C1795" s="1" t="n">
        <v>45791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61184-2024</t>
        </is>
      </c>
      <c r="B1796" s="1" t="n">
        <v>45645</v>
      </c>
      <c r="C1796" s="1" t="n">
        <v>45791</v>
      </c>
      <c r="D1796" t="inlineStr">
        <is>
          <t>KRONOBERGS LÄN</t>
        </is>
      </c>
      <c r="E1796" t="inlineStr">
        <is>
          <t>VÄXJÖ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61187-2024</t>
        </is>
      </c>
      <c r="B1797" s="1" t="n">
        <v>45645</v>
      </c>
      <c r="C1797" s="1" t="n">
        <v>45791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61193-2024</t>
        </is>
      </c>
      <c r="B1798" s="1" t="n">
        <v>45645</v>
      </c>
      <c r="C1798" s="1" t="n">
        <v>45791</v>
      </c>
      <c r="D1798" t="inlineStr">
        <is>
          <t>KRONOBERGS LÄN</t>
        </is>
      </c>
      <c r="E1798" t="inlineStr">
        <is>
          <t>VÄXJÖ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61844-2024</t>
        </is>
      </c>
      <c r="B1799" s="1" t="n">
        <v>45649</v>
      </c>
      <c r="C1799" s="1" t="n">
        <v>45791</v>
      </c>
      <c r="D1799" t="inlineStr">
        <is>
          <t>KRONOBERGS LÄN</t>
        </is>
      </c>
      <c r="E1799" t="inlineStr">
        <is>
          <t>VÄXJÖ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149-2025</t>
        </is>
      </c>
      <c r="B1800" s="1" t="n">
        <v>45649</v>
      </c>
      <c r="C1800" s="1" t="n">
        <v>45791</v>
      </c>
      <c r="D1800" t="inlineStr">
        <is>
          <t>KRONOBERGS LÄN</t>
        </is>
      </c>
      <c r="E1800" t="inlineStr">
        <is>
          <t>VÄXJÖ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61996-2024</t>
        </is>
      </c>
      <c r="B1801" s="1" t="n">
        <v>45653</v>
      </c>
      <c r="C1801" s="1" t="n">
        <v>45791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870-2025</t>
        </is>
      </c>
      <c r="B1802" s="1" t="n">
        <v>45665</v>
      </c>
      <c r="C1802" s="1" t="n">
        <v>45791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887-2025</t>
        </is>
      </c>
      <c r="B1803" s="1" t="n">
        <v>45665</v>
      </c>
      <c r="C1803" s="1" t="n">
        <v>45791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843-2025</t>
        </is>
      </c>
      <c r="B1804" s="1" t="n">
        <v>45665</v>
      </c>
      <c r="C1804" s="1" t="n">
        <v>45791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890-2025</t>
        </is>
      </c>
      <c r="B1805" s="1" t="n">
        <v>45665</v>
      </c>
      <c r="C1805" s="1" t="n">
        <v>45791</v>
      </c>
      <c r="D1805" t="inlineStr">
        <is>
          <t>KRONOBERGS LÄN</t>
        </is>
      </c>
      <c r="E1805" t="inlineStr">
        <is>
          <t>VÄXJÖ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1352-2025</t>
        </is>
      </c>
      <c r="B1806" s="1" t="n">
        <v>45667</v>
      </c>
      <c r="C1806" s="1" t="n">
        <v>45791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1643-2025</t>
        </is>
      </c>
      <c r="B1807" s="1" t="n">
        <v>45670</v>
      </c>
      <c r="C1807" s="1" t="n">
        <v>45791</v>
      </c>
      <c r="D1807" t="inlineStr">
        <is>
          <t>KRONOBERGS LÄN</t>
        </is>
      </c>
      <c r="E1807" t="inlineStr">
        <is>
          <t>VÄXJÖ</t>
        </is>
      </c>
      <c r="G1807" t="n">
        <v>12.9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1704-2025</t>
        </is>
      </c>
      <c r="B1808" s="1" t="n">
        <v>45670</v>
      </c>
      <c r="C1808" s="1" t="n">
        <v>45791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1634-2025</t>
        </is>
      </c>
      <c r="B1809" s="1" t="n">
        <v>45670</v>
      </c>
      <c r="C1809" s="1" t="n">
        <v>45791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2023-2025</t>
        </is>
      </c>
      <c r="B1810" s="1" t="n">
        <v>45672</v>
      </c>
      <c r="C1810" s="1" t="n">
        <v>45791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2657-2025</t>
        </is>
      </c>
      <c r="B1811" s="1" t="n">
        <v>45676</v>
      </c>
      <c r="C1811" s="1" t="n">
        <v>45791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2890-2025</t>
        </is>
      </c>
      <c r="B1812" s="1" t="n">
        <v>45677</v>
      </c>
      <c r="C1812" s="1" t="n">
        <v>45791</v>
      </c>
      <c r="D1812" t="inlineStr">
        <is>
          <t>KRONOBERGS LÄN</t>
        </is>
      </c>
      <c r="E1812" t="inlineStr">
        <is>
          <t>VÄXJÖ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2953-2025</t>
        </is>
      </c>
      <c r="B1813" s="1" t="n">
        <v>45678</v>
      </c>
      <c r="C1813" s="1" t="n">
        <v>45791</v>
      </c>
      <c r="D1813" t="inlineStr">
        <is>
          <t>KRONOBERGS LÄN</t>
        </is>
      </c>
      <c r="E1813" t="inlineStr">
        <is>
          <t>VÄXJÖ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2961-2025</t>
        </is>
      </c>
      <c r="B1814" s="1" t="n">
        <v>45678</v>
      </c>
      <c r="C1814" s="1" t="n">
        <v>45791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3101-2025</t>
        </is>
      </c>
      <c r="B1815" s="1" t="n">
        <v>45678</v>
      </c>
      <c r="C1815" s="1" t="n">
        <v>45791</v>
      </c>
      <c r="D1815" t="inlineStr">
        <is>
          <t>KRONOBERGS LÄN</t>
        </is>
      </c>
      <c r="E1815" t="inlineStr">
        <is>
          <t>VÄXJÖ</t>
        </is>
      </c>
      <c r="G1815" t="n">
        <v>11.3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45791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3105-2025</t>
        </is>
      </c>
      <c r="B1817" s="1" t="n">
        <v>45678</v>
      </c>
      <c r="C1817" s="1" t="n">
        <v>45791</v>
      </c>
      <c r="D1817" t="inlineStr">
        <is>
          <t>KRONOBERGS LÄN</t>
        </is>
      </c>
      <c r="E1817" t="inlineStr">
        <is>
          <t>VÄXJÖ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3109-2025</t>
        </is>
      </c>
      <c r="B1818" s="1" t="n">
        <v>45678</v>
      </c>
      <c r="C1818" s="1" t="n">
        <v>45791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3094-2025</t>
        </is>
      </c>
      <c r="B1819" s="1" t="n">
        <v>45678</v>
      </c>
      <c r="C1819" s="1" t="n">
        <v>45791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3106-2025</t>
        </is>
      </c>
      <c r="B1820" s="1" t="n">
        <v>45678</v>
      </c>
      <c r="C1820" s="1" t="n">
        <v>45791</v>
      </c>
      <c r="D1820" t="inlineStr">
        <is>
          <t>KRONOBERGS LÄN</t>
        </is>
      </c>
      <c r="E1820" t="inlineStr">
        <is>
          <t>VÄXJÖ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3111-2025</t>
        </is>
      </c>
      <c r="B1821" s="1" t="n">
        <v>45678</v>
      </c>
      <c r="C1821" s="1" t="n">
        <v>45791</v>
      </c>
      <c r="D1821" t="inlineStr">
        <is>
          <t>KRONOBERGS LÄN</t>
        </is>
      </c>
      <c r="E1821" t="inlineStr">
        <is>
          <t>VÄXJÖ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2956-2025</t>
        </is>
      </c>
      <c r="B1822" s="1" t="n">
        <v>45678</v>
      </c>
      <c r="C1822" s="1" t="n">
        <v>45791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2919-2025</t>
        </is>
      </c>
      <c r="B1823" s="1" t="n">
        <v>45678</v>
      </c>
      <c r="C1823" s="1" t="n">
        <v>45791</v>
      </c>
      <c r="D1823" t="inlineStr">
        <is>
          <t>KRONOBERGS LÄN</t>
        </is>
      </c>
      <c r="E1823" t="inlineStr">
        <is>
          <t>VÄXJÖ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45791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45791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45791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3238-2025</t>
        </is>
      </c>
      <c r="B1827" s="1" t="n">
        <v>45679</v>
      </c>
      <c r="C1827" s="1" t="n">
        <v>45791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3236-2025</t>
        </is>
      </c>
      <c r="B1828" s="1" t="n">
        <v>45679</v>
      </c>
      <c r="C1828" s="1" t="n">
        <v>45791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3280-2025</t>
        </is>
      </c>
      <c r="B1829" s="1" t="n">
        <v>45679</v>
      </c>
      <c r="C1829" s="1" t="n">
        <v>45791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3356-2025</t>
        </is>
      </c>
      <c r="B1830" s="1" t="n">
        <v>45679</v>
      </c>
      <c r="C1830" s="1" t="n">
        <v>45791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3798-2025</t>
        </is>
      </c>
      <c r="B1831" s="1" t="n">
        <v>45681</v>
      </c>
      <c r="C1831" s="1" t="n">
        <v>45791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3755-2025</t>
        </is>
      </c>
      <c r="B1832" s="1" t="n">
        <v>45681</v>
      </c>
      <c r="C1832" s="1" t="n">
        <v>45791</v>
      </c>
      <c r="D1832" t="inlineStr">
        <is>
          <t>KRONOBERGS LÄN</t>
        </is>
      </c>
      <c r="E1832" t="inlineStr">
        <is>
          <t>VÄXJÖ</t>
        </is>
      </c>
      <c r="F1832" t="inlineStr">
        <is>
          <t>Kyrkan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3893-2025</t>
        </is>
      </c>
      <c r="B1833" s="1" t="n">
        <v>45684</v>
      </c>
      <c r="C1833" s="1" t="n">
        <v>45791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4169-2025</t>
        </is>
      </c>
      <c r="B1834" s="1" t="n">
        <v>45685</v>
      </c>
      <c r="C1834" s="1" t="n">
        <v>45791</v>
      </c>
      <c r="D1834" t="inlineStr">
        <is>
          <t>KRONOBERGS LÄN</t>
        </is>
      </c>
      <c r="E1834" t="inlineStr">
        <is>
          <t>VÄXJÖ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4175-2025</t>
        </is>
      </c>
      <c r="B1835" s="1" t="n">
        <v>45685</v>
      </c>
      <c r="C1835" s="1" t="n">
        <v>45791</v>
      </c>
      <c r="D1835" t="inlineStr">
        <is>
          <t>KRONOBERGS LÄN</t>
        </is>
      </c>
      <c r="E1835" t="inlineStr">
        <is>
          <t>VÄXJÖ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4171-2025</t>
        </is>
      </c>
      <c r="B1836" s="1" t="n">
        <v>45685</v>
      </c>
      <c r="C1836" s="1" t="n">
        <v>45791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45791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45791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45791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45791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45791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4459-2025</t>
        </is>
      </c>
      <c r="B1842" s="1" t="n">
        <v>45686</v>
      </c>
      <c r="C1842" s="1" t="n">
        <v>45791</v>
      </c>
      <c r="D1842" t="inlineStr">
        <is>
          <t>KRONOBERGS LÄN</t>
        </is>
      </c>
      <c r="E1842" t="inlineStr">
        <is>
          <t>VÄXJÖ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4412-2025</t>
        </is>
      </c>
      <c r="B1843" s="1" t="n">
        <v>45686</v>
      </c>
      <c r="C1843" s="1" t="n">
        <v>45791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4349-2025</t>
        </is>
      </c>
      <c r="B1844" s="1" t="n">
        <v>45686</v>
      </c>
      <c r="C1844" s="1" t="n">
        <v>45791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4469-2025</t>
        </is>
      </c>
      <c r="B1845" s="1" t="n">
        <v>45686</v>
      </c>
      <c r="C1845" s="1" t="n">
        <v>45791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4684-2025</t>
        </is>
      </c>
      <c r="B1846" s="1" t="n">
        <v>45687</v>
      </c>
      <c r="C1846" s="1" t="n">
        <v>45791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4819-2025</t>
        </is>
      </c>
      <c r="B1847" s="1" t="n">
        <v>45688</v>
      </c>
      <c r="C1847" s="1" t="n">
        <v>45791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4691-2025</t>
        </is>
      </c>
      <c r="B1848" s="1" t="n">
        <v>45688</v>
      </c>
      <c r="C1848" s="1" t="n">
        <v>45791</v>
      </c>
      <c r="D1848" t="inlineStr">
        <is>
          <t>KRONOBERGS LÄN</t>
        </is>
      </c>
      <c r="E1848" t="inlineStr">
        <is>
          <t>VÄXJÖ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4728-2025</t>
        </is>
      </c>
      <c r="B1849" s="1" t="n">
        <v>45688</v>
      </c>
      <c r="C1849" s="1" t="n">
        <v>45791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4828-2025</t>
        </is>
      </c>
      <c r="B1850" s="1" t="n">
        <v>45688</v>
      </c>
      <c r="C1850" s="1" t="n">
        <v>45791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5179-2025</t>
        </is>
      </c>
      <c r="B1851" s="1" t="n">
        <v>45691</v>
      </c>
      <c r="C1851" s="1" t="n">
        <v>45791</v>
      </c>
      <c r="D1851" t="inlineStr">
        <is>
          <t>KRONOBERGS LÄN</t>
        </is>
      </c>
      <c r="E1851" t="inlineStr">
        <is>
          <t>VÄXJÖ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5275-2025</t>
        </is>
      </c>
      <c r="B1852" s="1" t="n">
        <v>45692</v>
      </c>
      <c r="C1852" s="1" t="n">
        <v>45791</v>
      </c>
      <c r="D1852" t="inlineStr">
        <is>
          <t>KRONOBERGS LÄN</t>
        </is>
      </c>
      <c r="E1852" t="inlineStr">
        <is>
          <t>VÄXJÖ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5288-2025</t>
        </is>
      </c>
      <c r="B1853" s="1" t="n">
        <v>45692</v>
      </c>
      <c r="C1853" s="1" t="n">
        <v>45791</v>
      </c>
      <c r="D1853" t="inlineStr">
        <is>
          <t>KRONOBERGS LÄN</t>
        </is>
      </c>
      <c r="E1853" t="inlineStr">
        <is>
          <t>VÄXJÖ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5352-2025</t>
        </is>
      </c>
      <c r="B1854" s="1" t="n">
        <v>45692</v>
      </c>
      <c r="C1854" s="1" t="n">
        <v>45791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5443-2025</t>
        </is>
      </c>
      <c r="B1855" s="1" t="n">
        <v>45692</v>
      </c>
      <c r="C1855" s="1" t="n">
        <v>45791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5486-2025</t>
        </is>
      </c>
      <c r="B1856" s="1" t="n">
        <v>45693</v>
      </c>
      <c r="C1856" s="1" t="n">
        <v>45791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5600-2025</t>
        </is>
      </c>
      <c r="B1857" s="1" t="n">
        <v>45693</v>
      </c>
      <c r="C1857" s="1" t="n">
        <v>45791</v>
      </c>
      <c r="D1857" t="inlineStr">
        <is>
          <t>KRONOBERGS LÄN</t>
        </is>
      </c>
      <c r="E1857" t="inlineStr">
        <is>
          <t>VÄXJÖ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5867-2025</t>
        </is>
      </c>
      <c r="B1858" s="1" t="n">
        <v>45695</v>
      </c>
      <c r="C1858" s="1" t="n">
        <v>45791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6271-2025</t>
        </is>
      </c>
      <c r="B1859" s="1" t="n">
        <v>45698</v>
      </c>
      <c r="C1859" s="1" t="n">
        <v>45791</v>
      </c>
      <c r="D1859" t="inlineStr">
        <is>
          <t>KRONOBERGS LÄN</t>
        </is>
      </c>
      <c r="E1859" t="inlineStr">
        <is>
          <t>VÄXJÖ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6458-2025</t>
        </is>
      </c>
      <c r="B1860" s="1" t="n">
        <v>45699</v>
      </c>
      <c r="C1860" s="1" t="n">
        <v>45791</v>
      </c>
      <c r="D1860" t="inlineStr">
        <is>
          <t>KRONOBERGS LÄN</t>
        </is>
      </c>
      <c r="E1860" t="inlineStr">
        <is>
          <t>VÄXJÖ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6526-2025</t>
        </is>
      </c>
      <c r="B1861" s="1" t="n">
        <v>45699</v>
      </c>
      <c r="C1861" s="1" t="n">
        <v>45791</v>
      </c>
      <c r="D1861" t="inlineStr">
        <is>
          <t>KRONOBERGS LÄN</t>
        </is>
      </c>
      <c r="E1861" t="inlineStr">
        <is>
          <t>VÄXJÖ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6689-2025</t>
        </is>
      </c>
      <c r="B1862" s="1" t="n">
        <v>45700</v>
      </c>
      <c r="C1862" s="1" t="n">
        <v>45791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6686-2025</t>
        </is>
      </c>
      <c r="B1863" s="1" t="n">
        <v>45700</v>
      </c>
      <c r="C1863" s="1" t="n">
        <v>45791</v>
      </c>
      <c r="D1863" t="inlineStr">
        <is>
          <t>KRONOBERGS LÄN</t>
        </is>
      </c>
      <c r="E1863" t="inlineStr">
        <is>
          <t>VÄXJÖ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45791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7170-2025</t>
        </is>
      </c>
      <c r="B1865" s="1" t="n">
        <v>45702</v>
      </c>
      <c r="C1865" s="1" t="n">
        <v>45791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7154-2025</t>
        </is>
      </c>
      <c r="B1866" s="1" t="n">
        <v>45702</v>
      </c>
      <c r="C1866" s="1" t="n">
        <v>45791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7266-2025</t>
        </is>
      </c>
      <c r="B1867" s="1" t="n">
        <v>45702</v>
      </c>
      <c r="C1867" s="1" t="n">
        <v>45791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7254-2025</t>
        </is>
      </c>
      <c r="B1868" s="1" t="n">
        <v>45702</v>
      </c>
      <c r="C1868" s="1" t="n">
        <v>45791</v>
      </c>
      <c r="D1868" t="inlineStr">
        <is>
          <t>KRONOBERGS LÄN</t>
        </is>
      </c>
      <c r="E1868" t="inlineStr">
        <is>
          <t>VÄXJÖ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7720-2025</t>
        </is>
      </c>
      <c r="B1869" s="1" t="n">
        <v>45705</v>
      </c>
      <c r="C1869" s="1" t="n">
        <v>45791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7560-2025</t>
        </is>
      </c>
      <c r="B1870" s="1" t="n">
        <v>45705</v>
      </c>
      <c r="C1870" s="1" t="n">
        <v>45791</v>
      </c>
      <c r="D1870" t="inlineStr">
        <is>
          <t>KRONOBERGS LÄN</t>
        </is>
      </c>
      <c r="E1870" t="inlineStr">
        <is>
          <t>VÄXJÖ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7471-2025</t>
        </is>
      </c>
      <c r="B1871" s="1" t="n">
        <v>45705</v>
      </c>
      <c r="C1871" s="1" t="n">
        <v>45791</v>
      </c>
      <c r="D1871" t="inlineStr">
        <is>
          <t>KRONOBERGS LÄN</t>
        </is>
      </c>
      <c r="E1871" t="inlineStr">
        <is>
          <t>VÄXJÖ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8106-2025</t>
        </is>
      </c>
      <c r="B1872" s="1" t="n">
        <v>45707</v>
      </c>
      <c r="C1872" s="1" t="n">
        <v>45791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8127-2025</t>
        </is>
      </c>
      <c r="B1873" s="1" t="n">
        <v>45707</v>
      </c>
      <c r="C1873" s="1" t="n">
        <v>45791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8713-2025</t>
        </is>
      </c>
      <c r="B1874" s="1" t="n">
        <v>45712</v>
      </c>
      <c r="C1874" s="1" t="n">
        <v>45791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8702-2025</t>
        </is>
      </c>
      <c r="B1875" s="1" t="n">
        <v>45712</v>
      </c>
      <c r="C1875" s="1" t="n">
        <v>45791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8846-2025</t>
        </is>
      </c>
      <c r="B1876" s="1" t="n">
        <v>45713</v>
      </c>
      <c r="C1876" s="1" t="n">
        <v>45791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9175-2025</t>
        </is>
      </c>
      <c r="B1877" s="1" t="n">
        <v>45714</v>
      </c>
      <c r="C1877" s="1" t="n">
        <v>45791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9177-2025</t>
        </is>
      </c>
      <c r="B1878" s="1" t="n">
        <v>45714</v>
      </c>
      <c r="C1878" s="1" t="n">
        <v>45791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9353-2025</t>
        </is>
      </c>
      <c r="B1879" s="1" t="n">
        <v>45714</v>
      </c>
      <c r="C1879" s="1" t="n">
        <v>45791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9357-2025</t>
        </is>
      </c>
      <c r="B1880" s="1" t="n">
        <v>45715</v>
      </c>
      <c r="C1880" s="1" t="n">
        <v>45791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9356-2025</t>
        </is>
      </c>
      <c r="B1881" s="1" t="n">
        <v>45715</v>
      </c>
      <c r="C1881" s="1" t="n">
        <v>45791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9755-2025</t>
        </is>
      </c>
      <c r="B1882" s="1" t="n">
        <v>45715</v>
      </c>
      <c r="C1882" s="1" t="n">
        <v>45791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9424-2025</t>
        </is>
      </c>
      <c r="B1883" s="1" t="n">
        <v>45715</v>
      </c>
      <c r="C1883" s="1" t="n">
        <v>45791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9389-2025</t>
        </is>
      </c>
      <c r="B1884" s="1" t="n">
        <v>45715</v>
      </c>
      <c r="C1884" s="1" t="n">
        <v>45791</v>
      </c>
      <c r="D1884" t="inlineStr">
        <is>
          <t>KRONOBERGS LÄN</t>
        </is>
      </c>
      <c r="E1884" t="inlineStr">
        <is>
          <t>VÄXJÖ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9821-2025</t>
        </is>
      </c>
      <c r="B1885" s="1" t="n">
        <v>45715</v>
      </c>
      <c r="C1885" s="1" t="n">
        <v>45791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45791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9671-2025</t>
        </is>
      </c>
      <c r="B1887" s="1" t="n">
        <v>45716</v>
      </c>
      <c r="C1887" s="1" t="n">
        <v>45791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9663-2025</t>
        </is>
      </c>
      <c r="B1888" s="1" t="n">
        <v>45716</v>
      </c>
      <c r="C1888" s="1" t="n">
        <v>45791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9901-2025</t>
        </is>
      </c>
      <c r="B1889" s="1" t="n">
        <v>45716</v>
      </c>
      <c r="C1889" s="1" t="n">
        <v>45791</v>
      </c>
      <c r="D1889" t="inlineStr">
        <is>
          <t>KRONOBERGS LÄN</t>
        </is>
      </c>
      <c r="E1889" t="inlineStr">
        <is>
          <t>VÄXJÖ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9837-2025</t>
        </is>
      </c>
      <c r="B1890" s="1" t="n">
        <v>45716</v>
      </c>
      <c r="C1890" s="1" t="n">
        <v>45791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9843-2025</t>
        </is>
      </c>
      <c r="B1891" s="1" t="n">
        <v>45716</v>
      </c>
      <c r="C1891" s="1" t="n">
        <v>45791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10061-2025</t>
        </is>
      </c>
      <c r="B1892" s="1" t="n">
        <v>45719</v>
      </c>
      <c r="C1892" s="1" t="n">
        <v>45791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10075-2025</t>
        </is>
      </c>
      <c r="B1893" s="1" t="n">
        <v>45719</v>
      </c>
      <c r="C1893" s="1" t="n">
        <v>45791</v>
      </c>
      <c r="D1893" t="inlineStr">
        <is>
          <t>KRONOBERGS LÄN</t>
        </is>
      </c>
      <c r="E1893" t="inlineStr">
        <is>
          <t>VÄXJÖ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10070-2025</t>
        </is>
      </c>
      <c r="B1894" s="1" t="n">
        <v>45719</v>
      </c>
      <c r="C1894" s="1" t="n">
        <v>45791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10892-2025</t>
        </is>
      </c>
      <c r="B1895" s="1" t="n">
        <v>45722</v>
      </c>
      <c r="C1895" s="1" t="n">
        <v>45791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10929-2025</t>
        </is>
      </c>
      <c r="B1896" s="1" t="n">
        <v>45722</v>
      </c>
      <c r="C1896" s="1" t="n">
        <v>45791</v>
      </c>
      <c r="D1896" t="inlineStr">
        <is>
          <t>KRONOBERGS LÄN</t>
        </is>
      </c>
      <c r="E1896" t="inlineStr">
        <is>
          <t>VÄXJÖ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11167-2025</t>
        </is>
      </c>
      <c r="B1897" s="1" t="n">
        <v>45724</v>
      </c>
      <c r="C1897" s="1" t="n">
        <v>45791</v>
      </c>
      <c r="D1897" t="inlineStr">
        <is>
          <t>KRONOBERGS LÄN</t>
        </is>
      </c>
      <c r="E1897" t="inlineStr">
        <is>
          <t>VÄXJÖ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11164-2025</t>
        </is>
      </c>
      <c r="B1898" s="1" t="n">
        <v>45724</v>
      </c>
      <c r="C1898" s="1" t="n">
        <v>45791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11265-2025</t>
        </is>
      </c>
      <c r="B1899" s="1" t="n">
        <v>45726</v>
      </c>
      <c r="C1899" s="1" t="n">
        <v>45791</v>
      </c>
      <c r="D1899" t="inlineStr">
        <is>
          <t>KRONOBERGS LÄN</t>
        </is>
      </c>
      <c r="E1899" t="inlineStr">
        <is>
          <t>VÄXJÖ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11259-2025</t>
        </is>
      </c>
      <c r="B1900" s="1" t="n">
        <v>45726</v>
      </c>
      <c r="C1900" s="1" t="n">
        <v>45791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11214-2025</t>
        </is>
      </c>
      <c r="B1901" s="1" t="n">
        <v>45726</v>
      </c>
      <c r="C1901" s="1" t="n">
        <v>45791</v>
      </c>
      <c r="D1901" t="inlineStr">
        <is>
          <t>KRONOBERGS LÄN</t>
        </is>
      </c>
      <c r="E1901" t="inlineStr">
        <is>
          <t>VÄXJÖ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11228-2025</t>
        </is>
      </c>
      <c r="B1902" s="1" t="n">
        <v>45726</v>
      </c>
      <c r="C1902" s="1" t="n">
        <v>45791</v>
      </c>
      <c r="D1902" t="inlineStr">
        <is>
          <t>KRONOBERGS LÄN</t>
        </is>
      </c>
      <c r="E1902" t="inlineStr">
        <is>
          <t>VÄXJÖ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11742-2025</t>
        </is>
      </c>
      <c r="B1903" s="1" t="n">
        <v>45727</v>
      </c>
      <c r="C1903" s="1" t="n">
        <v>45791</v>
      </c>
      <c r="D1903" t="inlineStr">
        <is>
          <t>KRONOBERGS LÄN</t>
        </is>
      </c>
      <c r="E1903" t="inlineStr">
        <is>
          <t>VÄXJÖ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11800-2025</t>
        </is>
      </c>
      <c r="B1904" s="1" t="n">
        <v>45727</v>
      </c>
      <c r="C1904" s="1" t="n">
        <v>45791</v>
      </c>
      <c r="D1904" t="inlineStr">
        <is>
          <t>KRONOBERGS LÄN</t>
        </is>
      </c>
      <c r="E1904" t="inlineStr">
        <is>
          <t>VÄXJÖ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12580-2025</t>
        </is>
      </c>
      <c r="B1905" s="1" t="n">
        <v>45732</v>
      </c>
      <c r="C1905" s="1" t="n">
        <v>45791</v>
      </c>
      <c r="D1905" t="inlineStr">
        <is>
          <t>KRONOBERGS LÄN</t>
        </is>
      </c>
      <c r="E1905" t="inlineStr">
        <is>
          <t>VÄXJÖ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12579-2025</t>
        </is>
      </c>
      <c r="B1906" s="1" t="n">
        <v>45732</v>
      </c>
      <c r="C1906" s="1" t="n">
        <v>45791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12916-2025</t>
        </is>
      </c>
      <c r="B1907" s="1" t="n">
        <v>45733</v>
      </c>
      <c r="C1907" s="1" t="n">
        <v>45791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12967-2025</t>
        </is>
      </c>
      <c r="B1908" s="1" t="n">
        <v>45734</v>
      </c>
      <c r="C1908" s="1" t="n">
        <v>45791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13840-2025</t>
        </is>
      </c>
      <c r="B1909" s="1" t="n">
        <v>45737</v>
      </c>
      <c r="C1909" s="1" t="n">
        <v>45791</v>
      </c>
      <c r="D1909" t="inlineStr">
        <is>
          <t>KRONOBERGS LÄN</t>
        </is>
      </c>
      <c r="E1909" t="inlineStr">
        <is>
          <t>VÄXJÖ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13841-2025</t>
        </is>
      </c>
      <c r="B1910" s="1" t="n">
        <v>45737</v>
      </c>
      <c r="C1910" s="1" t="n">
        <v>45791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45791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13960-2025</t>
        </is>
      </c>
      <c r="B1912" s="1" t="n">
        <v>45738</v>
      </c>
      <c r="C1912" s="1" t="n">
        <v>45791</v>
      </c>
      <c r="D1912" t="inlineStr">
        <is>
          <t>KRONOBERGS LÄN</t>
        </is>
      </c>
      <c r="E1912" t="inlineStr">
        <is>
          <t>VÄXJÖ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13961-2025</t>
        </is>
      </c>
      <c r="B1913" s="1" t="n">
        <v>45738</v>
      </c>
      <c r="C1913" s="1" t="n">
        <v>45791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13963-2025</t>
        </is>
      </c>
      <c r="B1914" s="1" t="n">
        <v>45738</v>
      </c>
      <c r="C1914" s="1" t="n">
        <v>45791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14324-2025</t>
        </is>
      </c>
      <c r="B1915" s="1" t="n">
        <v>45740</v>
      </c>
      <c r="C1915" s="1" t="n">
        <v>45791</v>
      </c>
      <c r="D1915" t="inlineStr">
        <is>
          <t>KRONOBERGS LÄN</t>
        </is>
      </c>
      <c r="E1915" t="inlineStr">
        <is>
          <t>VÄXJÖ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14166-2025</t>
        </is>
      </c>
      <c r="B1916" s="1" t="n">
        <v>45740</v>
      </c>
      <c r="C1916" s="1" t="n">
        <v>45791</v>
      </c>
      <c r="D1916" t="inlineStr">
        <is>
          <t>KRONOBERGS LÄN</t>
        </is>
      </c>
      <c r="E1916" t="inlineStr">
        <is>
          <t>VÄXJÖ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14226-2025</t>
        </is>
      </c>
      <c r="B1917" s="1" t="n">
        <v>45740</v>
      </c>
      <c r="C1917" s="1" t="n">
        <v>45791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15010-2025</t>
        </is>
      </c>
      <c r="B1918" s="1" t="n">
        <v>45743</v>
      </c>
      <c r="C1918" s="1" t="n">
        <v>45791</v>
      </c>
      <c r="D1918" t="inlineStr">
        <is>
          <t>KRONOBERGS LÄN</t>
        </is>
      </c>
      <c r="E1918" t="inlineStr">
        <is>
          <t>VÄXJÖ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14852-2025</t>
        </is>
      </c>
      <c r="B1919" s="1" t="n">
        <v>45743</v>
      </c>
      <c r="C1919" s="1" t="n">
        <v>45791</v>
      </c>
      <c r="D1919" t="inlineStr">
        <is>
          <t>KRONOBERGS LÄN</t>
        </is>
      </c>
      <c r="E1919" t="inlineStr">
        <is>
          <t>VÄXJÖ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14868-2025</t>
        </is>
      </c>
      <c r="B1920" s="1" t="n">
        <v>45743</v>
      </c>
      <c r="C1920" s="1" t="n">
        <v>45791</v>
      </c>
      <c r="D1920" t="inlineStr">
        <is>
          <t>KRONOBERGS LÄN</t>
        </is>
      </c>
      <c r="E1920" t="inlineStr">
        <is>
          <t>VÄXJÖ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14989-2025</t>
        </is>
      </c>
      <c r="B1921" s="1" t="n">
        <v>45743</v>
      </c>
      <c r="C1921" s="1" t="n">
        <v>45791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14984-2025</t>
        </is>
      </c>
      <c r="B1922" s="1" t="n">
        <v>45743</v>
      </c>
      <c r="C1922" s="1" t="n">
        <v>45791</v>
      </c>
      <c r="D1922" t="inlineStr">
        <is>
          <t>KRONOBERGS LÄN</t>
        </is>
      </c>
      <c r="E1922" t="inlineStr">
        <is>
          <t>VÄXJÖ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15349-2025</t>
        </is>
      </c>
      <c r="B1923" s="1" t="n">
        <v>45747</v>
      </c>
      <c r="C1923" s="1" t="n">
        <v>45791</v>
      </c>
      <c r="D1923" t="inlineStr">
        <is>
          <t>KRONOBERGS LÄN</t>
        </is>
      </c>
      <c r="E1923" t="inlineStr">
        <is>
          <t>VÄXJÖ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15995-2025</t>
        </is>
      </c>
      <c r="B1924" s="1" t="n">
        <v>45749</v>
      </c>
      <c r="C1924" s="1" t="n">
        <v>45791</v>
      </c>
      <c r="D1924" t="inlineStr">
        <is>
          <t>KRONOBERGS LÄN</t>
        </is>
      </c>
      <c r="E1924" t="inlineStr">
        <is>
          <t>VÄXJÖ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15930-2025</t>
        </is>
      </c>
      <c r="B1925" s="1" t="n">
        <v>45749</v>
      </c>
      <c r="C1925" s="1" t="n">
        <v>45791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16058-2025</t>
        </is>
      </c>
      <c r="B1926" s="1" t="n">
        <v>45749</v>
      </c>
      <c r="C1926" s="1" t="n">
        <v>45791</v>
      </c>
      <c r="D1926" t="inlineStr">
        <is>
          <t>KRONOBERGS LÄN</t>
        </is>
      </c>
      <c r="E1926" t="inlineStr">
        <is>
          <t>VÄXJÖ</t>
        </is>
      </c>
      <c r="F1926" t="inlineStr">
        <is>
          <t>Kyrkan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16241-2025</t>
        </is>
      </c>
      <c r="B1927" s="1" t="n">
        <v>45750</v>
      </c>
      <c r="C1927" s="1" t="n">
        <v>45791</v>
      </c>
      <c r="D1927" t="inlineStr">
        <is>
          <t>KRONOBERGS LÄN</t>
        </is>
      </c>
      <c r="E1927" t="inlineStr">
        <is>
          <t>VÄXJÖ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45791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16591-2025</t>
        </is>
      </c>
      <c r="B1929" s="1" t="n">
        <v>45753</v>
      </c>
      <c r="C1929" s="1" t="n">
        <v>45791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16593-2025</t>
        </is>
      </c>
      <c r="B1930" s="1" t="n">
        <v>45753</v>
      </c>
      <c r="C1930" s="1" t="n">
        <v>45791</v>
      </c>
      <c r="D1930" t="inlineStr">
        <is>
          <t>KRONOBERGS LÄN</t>
        </is>
      </c>
      <c r="E1930" t="inlineStr">
        <is>
          <t>VÄXJÖ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16592-2025</t>
        </is>
      </c>
      <c r="B1931" s="1" t="n">
        <v>45753</v>
      </c>
      <c r="C1931" s="1" t="n">
        <v>45791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16607-2025</t>
        </is>
      </c>
      <c r="B1932" s="1" t="n">
        <v>45753</v>
      </c>
      <c r="C1932" s="1" t="n">
        <v>45791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45791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45791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45791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45791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16751-2025</t>
        </is>
      </c>
      <c r="B1937" s="1" t="n">
        <v>45754</v>
      </c>
      <c r="C1937" s="1" t="n">
        <v>45791</v>
      </c>
      <c r="D1937" t="inlineStr">
        <is>
          <t>KRONOBERGS LÄN</t>
        </is>
      </c>
      <c r="E1937" t="inlineStr">
        <is>
          <t>VÄXJÖ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16982-2025</t>
        </is>
      </c>
      <c r="B1938" s="1" t="n">
        <v>45755</v>
      </c>
      <c r="C1938" s="1" t="n">
        <v>45791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17470-2025</t>
        </is>
      </c>
      <c r="B1939" s="1" t="n">
        <v>45757</v>
      </c>
      <c r="C1939" s="1" t="n">
        <v>45791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17477-2025</t>
        </is>
      </c>
      <c r="B1940" s="1" t="n">
        <v>45757</v>
      </c>
      <c r="C1940" s="1" t="n">
        <v>45791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45791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17755-2025</t>
        </is>
      </c>
      <c r="B1942" s="1" t="n">
        <v>45758</v>
      </c>
      <c r="C1942" s="1" t="n">
        <v>45791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17758-2025</t>
        </is>
      </c>
      <c r="B1943" s="1" t="n">
        <v>45758</v>
      </c>
      <c r="C1943" s="1" t="n">
        <v>45791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18084-2025</t>
        </is>
      </c>
      <c r="B1944" s="1" t="n">
        <v>45761</v>
      </c>
      <c r="C1944" s="1" t="n">
        <v>45791</v>
      </c>
      <c r="D1944" t="inlineStr">
        <is>
          <t>KRONOBERGS LÄN</t>
        </is>
      </c>
      <c r="E1944" t="inlineStr">
        <is>
          <t>VÄXJÖ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18085-2025</t>
        </is>
      </c>
      <c r="B1945" s="1" t="n">
        <v>45761</v>
      </c>
      <c r="C1945" s="1" t="n">
        <v>45791</v>
      </c>
      <c r="D1945" t="inlineStr">
        <is>
          <t>KRONOBERGS LÄN</t>
        </is>
      </c>
      <c r="E1945" t="inlineStr">
        <is>
          <t>VÄXJÖ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18364-2025</t>
        </is>
      </c>
      <c r="B1946" s="1" t="n">
        <v>45762</v>
      </c>
      <c r="C1946" s="1" t="n">
        <v>45791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18367-2025</t>
        </is>
      </c>
      <c r="B1947" s="1" t="n">
        <v>45762</v>
      </c>
      <c r="C1947" s="1" t="n">
        <v>45791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18376-2025</t>
        </is>
      </c>
      <c r="B1948" s="1" t="n">
        <v>45762</v>
      </c>
      <c r="C1948" s="1" t="n">
        <v>45791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18450-2025</t>
        </is>
      </c>
      <c r="B1949" s="1" t="n">
        <v>45762</v>
      </c>
      <c r="C1949" s="1" t="n">
        <v>45791</v>
      </c>
      <c r="D1949" t="inlineStr">
        <is>
          <t>KRONOBERGS LÄN</t>
        </is>
      </c>
      <c r="E1949" t="inlineStr">
        <is>
          <t>VÄXJÖ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18374-2025</t>
        </is>
      </c>
      <c r="B1950" s="1" t="n">
        <v>45762</v>
      </c>
      <c r="C1950" s="1" t="n">
        <v>45791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18381-2025</t>
        </is>
      </c>
      <c r="B1951" s="1" t="n">
        <v>45762</v>
      </c>
      <c r="C1951" s="1" t="n">
        <v>45791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18379-2025</t>
        </is>
      </c>
      <c r="B1952" s="1" t="n">
        <v>45762</v>
      </c>
      <c r="C1952" s="1" t="n">
        <v>45791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45791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18718-2025</t>
        </is>
      </c>
      <c r="B1954" s="1" t="n">
        <v>45763</v>
      </c>
      <c r="C1954" s="1" t="n">
        <v>45791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statliga verk och myndigheter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19005-2025</t>
        </is>
      </c>
      <c r="B1955" s="1" t="n">
        <v>45764</v>
      </c>
      <c r="C1955" s="1" t="n">
        <v>45791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19006-2025</t>
        </is>
      </c>
      <c r="B1956" s="1" t="n">
        <v>45764</v>
      </c>
      <c r="C1956" s="1" t="n">
        <v>45791</v>
      </c>
      <c r="D1956" t="inlineStr">
        <is>
          <t>KRONOBERGS LÄN</t>
        </is>
      </c>
      <c r="E1956" t="inlineStr">
        <is>
          <t>VÄXJÖ</t>
        </is>
      </c>
      <c r="G1956" t="n">
        <v>7.8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18998-2025</t>
        </is>
      </c>
      <c r="B1957" s="1" t="n">
        <v>45764</v>
      </c>
      <c r="C1957" s="1" t="n">
        <v>45791</v>
      </c>
      <c r="D1957" t="inlineStr">
        <is>
          <t>KRONOBERGS LÄN</t>
        </is>
      </c>
      <c r="E1957" t="inlineStr">
        <is>
          <t>VÄXJÖ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19001-2025</t>
        </is>
      </c>
      <c r="B1958" s="1" t="n">
        <v>45764</v>
      </c>
      <c r="C1958" s="1" t="n">
        <v>45791</v>
      </c>
      <c r="D1958" t="inlineStr">
        <is>
          <t>KRONOBERGS LÄN</t>
        </is>
      </c>
      <c r="E1958" t="inlineStr">
        <is>
          <t>VÄXJÖ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18996-2025</t>
        </is>
      </c>
      <c r="B1959" s="1" t="n">
        <v>45764</v>
      </c>
      <c r="C1959" s="1" t="n">
        <v>45791</v>
      </c>
      <c r="D1959" t="inlineStr">
        <is>
          <t>KRONOBERGS LÄN</t>
        </is>
      </c>
      <c r="E1959" t="inlineStr">
        <is>
          <t>VÄXJÖ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19239-2025</t>
        </is>
      </c>
      <c r="B1960" s="1" t="n">
        <v>45769</v>
      </c>
      <c r="C1960" s="1" t="n">
        <v>45791</v>
      </c>
      <c r="D1960" t="inlineStr">
        <is>
          <t>KRONOBERGS LÄN</t>
        </is>
      </c>
      <c r="E1960" t="inlineStr">
        <is>
          <t>VÄXJÖ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19256-2025</t>
        </is>
      </c>
      <c r="B1961" s="1" t="n">
        <v>45769</v>
      </c>
      <c r="C1961" s="1" t="n">
        <v>45791</v>
      </c>
      <c r="D1961" t="inlineStr">
        <is>
          <t>KRONOBERGS LÄN</t>
        </is>
      </c>
      <c r="E1961" t="inlineStr">
        <is>
          <t>VÄXJÖ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19325-2025</t>
        </is>
      </c>
      <c r="B1962" s="1" t="n">
        <v>45769</v>
      </c>
      <c r="C1962" s="1" t="n">
        <v>45791</v>
      </c>
      <c r="D1962" t="inlineStr">
        <is>
          <t>KRONOBERGS LÄN</t>
        </is>
      </c>
      <c r="E1962" t="inlineStr">
        <is>
          <t>VÄXJÖ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19247-2025</t>
        </is>
      </c>
      <c r="B1963" s="1" t="n">
        <v>45769</v>
      </c>
      <c r="C1963" s="1" t="n">
        <v>45791</v>
      </c>
      <c r="D1963" t="inlineStr">
        <is>
          <t>KRONOBERGS LÄN</t>
        </is>
      </c>
      <c r="E1963" t="inlineStr">
        <is>
          <t>VÄXJÖ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19152-2025</t>
        </is>
      </c>
      <c r="B1964" s="1" t="n">
        <v>45769</v>
      </c>
      <c r="C1964" s="1" t="n">
        <v>45791</v>
      </c>
      <c r="D1964" t="inlineStr">
        <is>
          <t>KRONOBERGS LÄN</t>
        </is>
      </c>
      <c r="E1964" t="inlineStr">
        <is>
          <t>VÄXJÖ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19349-2025</t>
        </is>
      </c>
      <c r="B1965" s="1" t="n">
        <v>45769</v>
      </c>
      <c r="C1965" s="1" t="n">
        <v>45791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19904-2025</t>
        </is>
      </c>
      <c r="B1966" s="1" t="n">
        <v>45771</v>
      </c>
      <c r="C1966" s="1" t="n">
        <v>45791</v>
      </c>
      <c r="D1966" t="inlineStr">
        <is>
          <t>KRONOBERGS LÄN</t>
        </is>
      </c>
      <c r="E1966" t="inlineStr">
        <is>
          <t>VÄXJÖ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19913-2025</t>
        </is>
      </c>
      <c r="B1967" s="1" t="n">
        <v>45771</v>
      </c>
      <c r="C1967" s="1" t="n">
        <v>45791</v>
      </c>
      <c r="D1967" t="inlineStr">
        <is>
          <t>KRONOBERGS LÄN</t>
        </is>
      </c>
      <c r="E1967" t="inlineStr">
        <is>
          <t>VÄXJÖ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20411-2025</t>
        </is>
      </c>
      <c r="B1968" s="1" t="n">
        <v>45775</v>
      </c>
      <c r="C1968" s="1" t="n">
        <v>45791</v>
      </c>
      <c r="D1968" t="inlineStr">
        <is>
          <t>KRONOBERGS LÄN</t>
        </is>
      </c>
      <c r="E1968" t="inlineStr">
        <is>
          <t>VÄXJÖ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20400-2025</t>
        </is>
      </c>
      <c r="B1969" s="1" t="n">
        <v>45775</v>
      </c>
      <c r="C1969" s="1" t="n">
        <v>45791</v>
      </c>
      <c r="D1969" t="inlineStr">
        <is>
          <t>KRONOBERGS LÄN</t>
        </is>
      </c>
      <c r="E1969" t="inlineStr">
        <is>
          <t>VÄXJÖ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20382-2025</t>
        </is>
      </c>
      <c r="B1970" s="1" t="n">
        <v>45775</v>
      </c>
      <c r="C1970" s="1" t="n">
        <v>45791</v>
      </c>
      <c r="D1970" t="inlineStr">
        <is>
          <t>KRONOBERGS LÄN</t>
        </is>
      </c>
      <c r="E1970" t="inlineStr">
        <is>
          <t>VÄXJÖ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21008-2025</t>
        </is>
      </c>
      <c r="B1971" s="1" t="n">
        <v>45777</v>
      </c>
      <c r="C1971" s="1" t="n">
        <v>45791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21011-2025</t>
        </is>
      </c>
      <c r="B1972" s="1" t="n">
        <v>45777</v>
      </c>
      <c r="C1972" s="1" t="n">
        <v>45791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21010-2025</t>
        </is>
      </c>
      <c r="B1973" s="1" t="n">
        <v>45777</v>
      </c>
      <c r="C1973" s="1" t="n">
        <v>45791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21297-2025</t>
        </is>
      </c>
      <c r="B1974" s="1" t="n">
        <v>45780</v>
      </c>
      <c r="C1974" s="1" t="n">
        <v>45791</v>
      </c>
      <c r="D1974" t="inlineStr">
        <is>
          <t>KRONOBERGS LÄN</t>
        </is>
      </c>
      <c r="E1974" t="inlineStr">
        <is>
          <t>VÄXJÖ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21301-2025</t>
        </is>
      </c>
      <c r="B1975" s="1" t="n">
        <v>45780</v>
      </c>
      <c r="C1975" s="1" t="n">
        <v>45791</v>
      </c>
      <c r="D1975" t="inlineStr">
        <is>
          <t>KRONOBERGS LÄN</t>
        </is>
      </c>
      <c r="E1975" t="inlineStr">
        <is>
          <t>VÄXJÖ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21298-2025</t>
        </is>
      </c>
      <c r="B1976" s="1" t="n">
        <v>45780</v>
      </c>
      <c r="C1976" s="1" t="n">
        <v>45791</v>
      </c>
      <c r="D1976" t="inlineStr">
        <is>
          <t>KRONOBERGS LÄN</t>
        </is>
      </c>
      <c r="E1976" t="inlineStr">
        <is>
          <t>VÄXJÖ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21299-2025</t>
        </is>
      </c>
      <c r="B1977" s="1" t="n">
        <v>45780</v>
      </c>
      <c r="C1977" s="1" t="n">
        <v>45791</v>
      </c>
      <c r="D1977" t="inlineStr">
        <is>
          <t>KRONOBERGS LÄN</t>
        </is>
      </c>
      <c r="E1977" t="inlineStr">
        <is>
          <t>VÄXJÖ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21300-2025</t>
        </is>
      </c>
      <c r="B1978" s="1" t="n">
        <v>45780</v>
      </c>
      <c r="C1978" s="1" t="n">
        <v>45791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21303-2025</t>
        </is>
      </c>
      <c r="B1979" s="1" t="n">
        <v>45780</v>
      </c>
      <c r="C1979" s="1" t="n">
        <v>45791</v>
      </c>
      <c r="D1979" t="inlineStr">
        <is>
          <t>KRONOBERGS LÄN</t>
        </is>
      </c>
      <c r="E1979" t="inlineStr">
        <is>
          <t>VÄXJÖ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21532-2025</t>
        </is>
      </c>
      <c r="B1980" s="1" t="n">
        <v>45782</v>
      </c>
      <c r="C1980" s="1" t="n">
        <v>45791</v>
      </c>
      <c r="D1980" t="inlineStr">
        <is>
          <t>KRONOBERGS LÄN</t>
        </is>
      </c>
      <c r="E1980" t="inlineStr">
        <is>
          <t>VÄXJÖ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21528-2025</t>
        </is>
      </c>
      <c r="B1981" s="1" t="n">
        <v>45782</v>
      </c>
      <c r="C1981" s="1" t="n">
        <v>45791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21515-2025</t>
        </is>
      </c>
      <c r="B1982" s="1" t="n">
        <v>45782</v>
      </c>
      <c r="C1982" s="1" t="n">
        <v>45791</v>
      </c>
      <c r="D1982" t="inlineStr">
        <is>
          <t>KRONOBERGS LÄN</t>
        </is>
      </c>
      <c r="E1982" t="inlineStr">
        <is>
          <t>VÄXJÖ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21526-2025</t>
        </is>
      </c>
      <c r="B1983" s="1" t="n">
        <v>45782</v>
      </c>
      <c r="C1983" s="1" t="n">
        <v>45791</v>
      </c>
      <c r="D1983" t="inlineStr">
        <is>
          <t>KRONOBERGS LÄN</t>
        </is>
      </c>
      <c r="E1983" t="inlineStr">
        <is>
          <t>VÄXJÖ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21695-2025</t>
        </is>
      </c>
      <c r="B1984" s="1" t="n">
        <v>45783</v>
      </c>
      <c r="C1984" s="1" t="n">
        <v>45791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21702-2025</t>
        </is>
      </c>
      <c r="B1985" s="1" t="n">
        <v>45783</v>
      </c>
      <c r="C1985" s="1" t="n">
        <v>45791</v>
      </c>
      <c r="D1985" t="inlineStr">
        <is>
          <t>KRONOBERGS LÄN</t>
        </is>
      </c>
      <c r="E1985" t="inlineStr">
        <is>
          <t>VÄXJÖ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21668-2025</t>
        </is>
      </c>
      <c r="B1986" s="1" t="n">
        <v>45783</v>
      </c>
      <c r="C1986" s="1" t="n">
        <v>45791</v>
      </c>
      <c r="D1986" t="inlineStr">
        <is>
          <t>KRONOBERGS LÄN</t>
        </is>
      </c>
      <c r="E1986" t="inlineStr">
        <is>
          <t>VÄXJÖ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21688-2025</t>
        </is>
      </c>
      <c r="B1987" s="1" t="n">
        <v>45783</v>
      </c>
      <c r="C1987" s="1" t="n">
        <v>45791</v>
      </c>
      <c r="D1987" t="inlineStr">
        <is>
          <t>KRONOBERGS LÄN</t>
        </is>
      </c>
      <c r="E1987" t="inlineStr">
        <is>
          <t>VÄXJÖ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21931-2025</t>
        </is>
      </c>
      <c r="B1988" s="1" t="n">
        <v>45784</v>
      </c>
      <c r="C1988" s="1" t="n">
        <v>45791</v>
      </c>
      <c r="D1988" t="inlineStr">
        <is>
          <t>KRONOBERGS LÄN</t>
        </is>
      </c>
      <c r="E1988" t="inlineStr">
        <is>
          <t>VÄXJÖ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22394-2025</t>
        </is>
      </c>
      <c r="B1989" s="1" t="n">
        <v>45786</v>
      </c>
      <c r="C1989" s="1" t="n">
        <v>45791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22534-2025</t>
        </is>
      </c>
      <c r="B1990" s="1" t="n">
        <v>45787</v>
      </c>
      <c r="C1990" s="1" t="n">
        <v>45791</v>
      </c>
      <c r="D1990" t="inlineStr">
        <is>
          <t>KRONOBERGS LÄN</t>
        </is>
      </c>
      <c r="E1990" t="inlineStr">
        <is>
          <t>VÄXJÖ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22533-2025</t>
        </is>
      </c>
      <c r="B1991" s="1" t="n">
        <v>45787</v>
      </c>
      <c r="C1991" s="1" t="n">
        <v>45791</v>
      </c>
      <c r="D1991" t="inlineStr">
        <is>
          <t>KRONOBERGS LÄN</t>
        </is>
      </c>
      <c r="E1991" t="inlineStr">
        <is>
          <t>VÄXJÖ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22535-2025</t>
        </is>
      </c>
      <c r="B1992" s="1" t="n">
        <v>45787</v>
      </c>
      <c r="C1992" s="1" t="n">
        <v>45791</v>
      </c>
      <c r="D1992" t="inlineStr">
        <is>
          <t>KRONOBERGS LÄN</t>
        </is>
      </c>
      <c r="E1992" t="inlineStr">
        <is>
          <t>VÄXJÖ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22754-2025</t>
        </is>
      </c>
      <c r="B1993" s="1" t="n">
        <v>45789</v>
      </c>
      <c r="C1993" s="1" t="n">
        <v>45791</v>
      </c>
      <c r="D1993" t="inlineStr">
        <is>
          <t>KRONOBERGS LÄN</t>
        </is>
      </c>
      <c r="E1993" t="inlineStr">
        <is>
          <t>VÄXJÖ</t>
        </is>
      </c>
      <c r="G1993" t="n">
        <v>5.2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22684-2025</t>
        </is>
      </c>
      <c r="B1994" s="1" t="n">
        <v>45789</v>
      </c>
      <c r="C1994" s="1" t="n">
        <v>45791</v>
      </c>
      <c r="D1994" t="inlineStr">
        <is>
          <t>KRONOBERGS LÄN</t>
        </is>
      </c>
      <c r="E1994" t="inlineStr">
        <is>
          <t>VÄXJÖ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45791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22665-2025</t>
        </is>
      </c>
      <c r="B1996" s="1" t="n">
        <v>45789</v>
      </c>
      <c r="C1996" s="1" t="n">
        <v>45791</v>
      </c>
      <c r="D1996" t="inlineStr">
        <is>
          <t>KRONOBERGS LÄN</t>
        </is>
      </c>
      <c r="E1996" t="inlineStr">
        <is>
          <t>VÄXJÖ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>
      <c r="A1997" t="inlineStr">
        <is>
          <t>A 22889-2025</t>
        </is>
      </c>
      <c r="B1997" s="1" t="n">
        <v>45790</v>
      </c>
      <c r="C1997" s="1" t="n">
        <v>45791</v>
      </c>
      <c r="D1997" t="inlineStr">
        <is>
          <t>KRONOBERGS LÄN</t>
        </is>
      </c>
      <c r="E1997" t="inlineStr">
        <is>
          <t>VÄXJÖ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2025-05-14T17:28:50Z</dcterms:created>
  <dcterms:modified xmlns:dcterms="http://purl.org/dc/terms/" xmlns:xsi="http://www.w3.org/2001/XMLSchema-instance" xsi:type="dcterms:W3CDTF">2025-05-14T17:28:52Z</dcterms:modified>
</cp:coreProperties>
</file>