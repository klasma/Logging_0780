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45646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45646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45646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45646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45646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45646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45646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45646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45646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45646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45646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45646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45646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45646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45646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45646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45646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30317-2024</t>
        </is>
      </c>
      <c r="B19" s="1" t="n">
        <v>45490</v>
      </c>
      <c r="C19" s="1" t="n">
        <v>45646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Lopplummer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45646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45646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45646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45646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45646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45646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45646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45646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45646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45646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45646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45646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45646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45646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45646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45646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45646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45646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45646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45646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45646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45646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45646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45646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45646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35901-2024</t>
        </is>
      </c>
      <c r="B45" s="1" t="n">
        <v>45533</v>
      </c>
      <c r="C45" s="1" t="n">
        <v>45646</v>
      </c>
      <c r="D45" t="inlineStr">
        <is>
          <t>KRONOBERGS LÄN</t>
        </is>
      </c>
      <c r="E45" t="inlineStr">
        <is>
          <t>VÄXJÖ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HYPERLINK("https://klasma.github.io/Logging_0780/artfynd/A 35901-2024 artfynd.xlsx", "A 35901-2024")</f>
        <v/>
      </c>
      <c r="T45">
        <f>HYPERLINK("https://klasma.github.io/Logging_0780/kartor/A 35901-2024 karta.png", "A 35901-2024")</f>
        <v/>
      </c>
      <c r="V45">
        <f>HYPERLINK("https://klasma.github.io/Logging_0780/klagomål/A 35901-2024 FSC-klagomål.docx", "A 35901-2024")</f>
        <v/>
      </c>
      <c r="W45">
        <f>HYPERLINK("https://klasma.github.io/Logging_0780/klagomålsmail/A 35901-2024 FSC-klagomål mail.docx", "A 35901-2024")</f>
        <v/>
      </c>
      <c r="X45">
        <f>HYPERLINK("https://klasma.github.io/Logging_0780/tillsyn/A 35901-2024 tillsynsbegäran.docx", "A 35901-2024")</f>
        <v/>
      </c>
      <c r="Y45">
        <f>HYPERLINK("https://klasma.github.io/Logging_0780/tillsynsmail/A 35901-2024 tillsynsbegäran mail.docx", "A 35901-2024")</f>
        <v/>
      </c>
      <c r="Z45">
        <f>HYPERLINK("https://klasma.github.io/Logging_0780/fåglar/A 35901-2024 prioriterade fågelarter.docx", "A 35901-2024")</f>
        <v/>
      </c>
    </row>
    <row r="46" ht="15" customHeight="1">
      <c r="A46" t="inlineStr">
        <is>
          <t>A 38036-2024</t>
        </is>
      </c>
      <c r="B46" s="1" t="n">
        <v>45544</v>
      </c>
      <c r="C46" s="1" t="n">
        <v>45646</v>
      </c>
      <c r="D46" t="inlineStr">
        <is>
          <t>KRONOBERGS LÄN</t>
        </is>
      </c>
      <c r="E46" t="inlineStr">
        <is>
          <t>VÄXJÖ</t>
        </is>
      </c>
      <c r="F46" t="inlineStr">
        <is>
          <t>Övriga Aktiebolag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HYPERLINK("https://klasma.github.io/Logging_0780/artfynd/A 38036-2024 artfynd.xlsx", "A 38036-2024")</f>
        <v/>
      </c>
      <c r="T46">
        <f>HYPERLINK("https://klasma.github.io/Logging_0780/kartor/A 38036-2024 karta.png", "A 38036-2024")</f>
        <v/>
      </c>
      <c r="V46">
        <f>HYPERLINK("https://klasma.github.io/Logging_0780/klagomål/A 38036-2024 FSC-klagomål.docx", "A 38036-2024")</f>
        <v/>
      </c>
      <c r="W46">
        <f>HYPERLINK("https://klasma.github.io/Logging_0780/klagomålsmail/A 38036-2024 FSC-klagomål mail.docx", "A 38036-2024")</f>
        <v/>
      </c>
      <c r="X46">
        <f>HYPERLINK("https://klasma.github.io/Logging_0780/tillsyn/A 38036-2024 tillsynsbegäran.docx", "A 38036-2024")</f>
        <v/>
      </c>
      <c r="Y46">
        <f>HYPERLINK("https://klasma.github.io/Logging_0780/tillsynsmail/A 38036-2024 tillsynsbegäran mail.docx", "A 38036-2024")</f>
        <v/>
      </c>
    </row>
    <row r="47" ht="15" customHeight="1">
      <c r="A47" t="inlineStr">
        <is>
          <t>A 38339-2024</t>
        </is>
      </c>
      <c r="B47" s="1" t="n">
        <v>45545</v>
      </c>
      <c r="C47" s="1" t="n">
        <v>45646</v>
      </c>
      <c r="D47" t="inlineStr">
        <is>
          <t>KRONOBERGS LÄN</t>
        </is>
      </c>
      <c r="E47" t="inlineStr">
        <is>
          <t>VÄXJÖ</t>
        </is>
      </c>
      <c r="G47" t="n">
        <v>4.9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Tallriska</t>
        </is>
      </c>
      <c r="S47">
        <f>HYPERLINK("https://klasma.github.io/Logging_0780/artfynd/A 38339-2024 artfynd.xlsx", "A 38339-2024")</f>
        <v/>
      </c>
      <c r="T47">
        <f>HYPERLINK("https://klasma.github.io/Logging_0780/kartor/A 38339-2024 karta.png", "A 38339-2024")</f>
        <v/>
      </c>
      <c r="V47">
        <f>HYPERLINK("https://klasma.github.io/Logging_0780/klagomål/A 38339-2024 FSC-klagomål.docx", "A 38339-2024")</f>
        <v/>
      </c>
      <c r="W47">
        <f>HYPERLINK("https://klasma.github.io/Logging_0780/klagomålsmail/A 38339-2024 FSC-klagomål mail.docx", "A 38339-2024")</f>
        <v/>
      </c>
      <c r="X47">
        <f>HYPERLINK("https://klasma.github.io/Logging_0780/tillsyn/A 38339-2024 tillsynsbegäran.docx", "A 38339-2024")</f>
        <v/>
      </c>
      <c r="Y47">
        <f>HYPERLINK("https://klasma.github.io/Logging_0780/tillsynsmail/A 38339-2024 tillsynsbegäran mail.docx", "A 38339-2024")</f>
        <v/>
      </c>
    </row>
    <row r="48" ht="15" customHeight="1">
      <c r="A48" t="inlineStr">
        <is>
          <t>A 40266-2024</t>
        </is>
      </c>
      <c r="B48" s="1" t="n">
        <v>45554</v>
      </c>
      <c r="C48" s="1" t="n">
        <v>45646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bastardsvärmare</t>
        </is>
      </c>
      <c r="S48">
        <f>HYPERLINK("https://klasma.github.io/Logging_0780/artfynd/A 40266-2024 artfynd.xlsx", "A 40266-2024")</f>
        <v/>
      </c>
      <c r="T48">
        <f>HYPERLINK("https://klasma.github.io/Logging_0780/kartor/A 40266-2024 karta.png", "A 40266-2024")</f>
        <v/>
      </c>
      <c r="V48">
        <f>HYPERLINK("https://klasma.github.io/Logging_0780/klagomål/A 40266-2024 FSC-klagomål.docx", "A 40266-2024")</f>
        <v/>
      </c>
      <c r="W48">
        <f>HYPERLINK("https://klasma.github.io/Logging_0780/klagomålsmail/A 40266-2024 FSC-klagomål mail.docx", "A 40266-2024")</f>
        <v/>
      </c>
      <c r="X48">
        <f>HYPERLINK("https://klasma.github.io/Logging_0780/tillsyn/A 40266-2024 tillsynsbegäran.docx", "A 40266-2024")</f>
        <v/>
      </c>
      <c r="Y48">
        <f>HYPERLINK("https://klasma.github.io/Logging_0780/tillsynsmail/A 40266-2024 tillsynsbegäran mail.docx", "A 40266-2024")</f>
        <v/>
      </c>
    </row>
    <row r="49" ht="15" customHeight="1">
      <c r="A49" t="inlineStr">
        <is>
          <t>A 51647-2024</t>
        </is>
      </c>
      <c r="B49" s="1" t="n">
        <v>45606</v>
      </c>
      <c r="C49" s="1" t="n">
        <v>45646</v>
      </c>
      <c r="D49" t="inlineStr">
        <is>
          <t>KRONOBERGS LÄN</t>
        </is>
      </c>
      <c r="E49" t="inlineStr">
        <is>
          <t>VÄXJÖ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HYPERLINK("https://klasma.github.io/Logging_0780/artfynd/A 51647-2024 artfynd.xlsx", "A 51647-2024")</f>
        <v/>
      </c>
      <c r="T49">
        <f>HYPERLINK("https://klasma.github.io/Logging_0780/kartor/A 51647-2024 karta.png", "A 51647-2024")</f>
        <v/>
      </c>
      <c r="V49">
        <f>HYPERLINK("https://klasma.github.io/Logging_0780/klagomål/A 51647-2024 FSC-klagomål.docx", "A 51647-2024")</f>
        <v/>
      </c>
      <c r="W49">
        <f>HYPERLINK("https://klasma.github.io/Logging_0780/klagomålsmail/A 51647-2024 FSC-klagomål mail.docx", "A 51647-2024")</f>
        <v/>
      </c>
      <c r="X49">
        <f>HYPERLINK("https://klasma.github.io/Logging_0780/tillsyn/A 51647-2024 tillsynsbegäran.docx", "A 51647-2024")</f>
        <v/>
      </c>
      <c r="Y49">
        <f>HYPERLINK("https://klasma.github.io/Logging_0780/tillsynsmail/A 51647-2024 tillsynsbegäran mail.docx", "A 51647-2024")</f>
        <v/>
      </c>
    </row>
    <row r="50" ht="15" customHeight="1">
      <c r="A50" t="inlineStr">
        <is>
          <t>A 52628-2024</t>
        </is>
      </c>
      <c r="B50" s="1" t="n">
        <v>45610</v>
      </c>
      <c r="C50" s="1" t="n">
        <v>45646</v>
      </c>
      <c r="D50" t="inlineStr">
        <is>
          <t>KRONOBERGS LÄN</t>
        </is>
      </c>
      <c r="E50" t="inlineStr">
        <is>
          <t>VÄXJÖ</t>
        </is>
      </c>
      <c r="G50" t="n">
        <v>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HYPERLINK("https://klasma.github.io/Logging_0780/artfynd/A 52628-2024 artfynd.xlsx", "A 52628-2024")</f>
        <v/>
      </c>
      <c r="T50">
        <f>HYPERLINK("https://klasma.github.io/Logging_0780/kartor/A 52628-2024 karta.png", "A 52628-2024")</f>
        <v/>
      </c>
      <c r="V50">
        <f>HYPERLINK("https://klasma.github.io/Logging_0780/klagomål/A 52628-2024 FSC-klagomål.docx", "A 52628-2024")</f>
        <v/>
      </c>
      <c r="W50">
        <f>HYPERLINK("https://klasma.github.io/Logging_0780/klagomålsmail/A 52628-2024 FSC-klagomål mail.docx", "A 52628-2024")</f>
        <v/>
      </c>
      <c r="X50">
        <f>HYPERLINK("https://klasma.github.io/Logging_0780/tillsyn/A 52628-2024 tillsynsbegäran.docx", "A 52628-2024")</f>
        <v/>
      </c>
      <c r="Y50">
        <f>HYPERLINK("https://klasma.github.io/Logging_0780/tillsynsmail/A 52628-2024 tillsynsbegäran mail.docx", "A 52628-2024")</f>
        <v/>
      </c>
      <c r="Z50">
        <f>HYPERLINK("https://klasma.github.io/Logging_0780/fåglar/A 52628-2024 prioriterade fågelarter.docx", "A 52628-2024")</f>
        <v/>
      </c>
    </row>
    <row r="51" ht="15" customHeight="1">
      <c r="A51" t="inlineStr">
        <is>
          <t>A 60064-2024</t>
        </is>
      </c>
      <c r="B51" s="1" t="n">
        <v>45642</v>
      </c>
      <c r="C51" s="1" t="n">
        <v>45646</v>
      </c>
      <c r="D51" t="inlineStr">
        <is>
          <t>KRONOBERGS LÄN</t>
        </is>
      </c>
      <c r="E51" t="inlineStr">
        <is>
          <t>VÄXJÖ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HYPERLINK("https://klasma.github.io/Logging_0780/artfynd/A 60064-2024 artfynd.xlsx", "A 60064-2024")</f>
        <v/>
      </c>
      <c r="T51">
        <f>HYPERLINK("https://klasma.github.io/Logging_0780/kartor/A 60064-2024 karta.png", "A 60064-2024")</f>
        <v/>
      </c>
      <c r="V51">
        <f>HYPERLINK("https://klasma.github.io/Logging_0780/klagomål/A 60064-2024 FSC-klagomål.docx", "A 60064-2024")</f>
        <v/>
      </c>
      <c r="W51">
        <f>HYPERLINK("https://klasma.github.io/Logging_0780/klagomålsmail/A 60064-2024 FSC-klagomål mail.docx", "A 60064-2024")</f>
        <v/>
      </c>
      <c r="X51">
        <f>HYPERLINK("https://klasma.github.io/Logging_0780/tillsyn/A 60064-2024 tillsynsbegäran.docx", "A 60064-2024")</f>
        <v/>
      </c>
      <c r="Y51">
        <f>HYPERLINK("https://klasma.github.io/Logging_0780/tillsynsmail/A 60064-2024 tillsynsbegäran mail.docx", "A 60064-2024")</f>
        <v/>
      </c>
    </row>
    <row r="52" ht="15" customHeight="1">
      <c r="A52" t="inlineStr">
        <is>
          <t>A 60370-2024</t>
        </is>
      </c>
      <c r="B52" s="1" t="n">
        <v>45643</v>
      </c>
      <c r="C52" s="1" t="n">
        <v>45646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60370-2024 artfynd.xlsx", "A 60370-2024")</f>
        <v/>
      </c>
      <c r="T52">
        <f>HYPERLINK("https://klasma.github.io/Logging_0780/kartor/A 60370-2024 karta.png", "A 60370-2024")</f>
        <v/>
      </c>
      <c r="V52">
        <f>HYPERLINK("https://klasma.github.io/Logging_0780/klagomål/A 60370-2024 FSC-klagomål.docx", "A 60370-2024")</f>
        <v/>
      </c>
      <c r="W52">
        <f>HYPERLINK("https://klasma.github.io/Logging_0780/klagomålsmail/A 60370-2024 FSC-klagomål mail.docx", "A 60370-2024")</f>
        <v/>
      </c>
      <c r="X52">
        <f>HYPERLINK("https://klasma.github.io/Logging_0780/tillsyn/A 60370-2024 tillsynsbegäran.docx", "A 60370-2024")</f>
        <v/>
      </c>
      <c r="Y52">
        <f>HYPERLINK("https://klasma.github.io/Logging_0780/tillsynsmail/A 60370-2024 tillsynsbegäran mail.docx", "A 60370-2024")</f>
        <v/>
      </c>
    </row>
    <row r="53" ht="15" customHeight="1">
      <c r="A53" t="inlineStr">
        <is>
          <t>A 17746-2019</t>
        </is>
      </c>
      <c r="B53" s="1" t="n">
        <v>43556</v>
      </c>
      <c r="C53" s="1" t="n">
        <v>45646</v>
      </c>
      <c r="D53" t="inlineStr">
        <is>
          <t>KRONOBERGS LÄN</t>
        </is>
      </c>
      <c r="E53" t="inlineStr">
        <is>
          <t>VÄXJÖ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18007-2019</t>
        </is>
      </c>
      <c r="B54" s="1" t="n">
        <v>43557</v>
      </c>
      <c r="C54" s="1" t="n">
        <v>45646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18263-2019</t>
        </is>
      </c>
      <c r="B55" s="1" t="n">
        <v>43558</v>
      </c>
      <c r="C55" s="1" t="n">
        <v>45646</v>
      </c>
      <c r="D55" t="inlineStr">
        <is>
          <t>KRONOBERGS LÄN</t>
        </is>
      </c>
      <c r="E55" t="inlineStr">
        <is>
          <t>VÄXJÖ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19509-2019</t>
        </is>
      </c>
      <c r="B56" s="1" t="n">
        <v>43565</v>
      </c>
      <c r="C56" s="1" t="n">
        <v>45646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19506-2019</t>
        </is>
      </c>
      <c r="B57" s="1" t="n">
        <v>43565</v>
      </c>
      <c r="C57" s="1" t="n">
        <v>45646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19687-2019</t>
        </is>
      </c>
      <c r="B58" s="1" t="n">
        <v>43566</v>
      </c>
      <c r="C58" s="1" t="n">
        <v>45646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20598-2019</t>
        </is>
      </c>
      <c r="B59" s="1" t="n">
        <v>43572</v>
      </c>
      <c r="C59" s="1" t="n">
        <v>45646</v>
      </c>
      <c r="D59" t="inlineStr">
        <is>
          <t>KRONOBERGS LÄN</t>
        </is>
      </c>
      <c r="E59" t="inlineStr">
        <is>
          <t>VÄXJÖ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20944-2019</t>
        </is>
      </c>
      <c r="B60" s="1" t="n">
        <v>43578</v>
      </c>
      <c r="C60" s="1" t="n">
        <v>45646</v>
      </c>
      <c r="D60" t="inlineStr">
        <is>
          <t>KRONOBERGS LÄN</t>
        </is>
      </c>
      <c r="E60" t="inlineStr">
        <is>
          <t>VÄXJÖ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20938-2019</t>
        </is>
      </c>
      <c r="B61" s="1" t="n">
        <v>43578</v>
      </c>
      <c r="C61" s="1" t="n">
        <v>45646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20988-2019</t>
        </is>
      </c>
      <c r="B62" s="1" t="n">
        <v>43578</v>
      </c>
      <c r="C62" s="1" t="n">
        <v>45646</v>
      </c>
      <c r="D62" t="inlineStr">
        <is>
          <t>KRONOBERGS LÄN</t>
        </is>
      </c>
      <c r="E62" t="inlineStr">
        <is>
          <t>VÄXJÖ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21076-2019</t>
        </is>
      </c>
      <c r="B63" s="1" t="n">
        <v>43578</v>
      </c>
      <c r="C63" s="1" t="n">
        <v>45646</v>
      </c>
      <c r="D63" t="inlineStr">
        <is>
          <t>KRONOBERGS LÄN</t>
        </is>
      </c>
      <c r="E63" t="inlineStr">
        <is>
          <t>VÄXJÖ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21712-2019</t>
        </is>
      </c>
      <c r="B64" s="1" t="n">
        <v>43581</v>
      </c>
      <c r="C64" s="1" t="n">
        <v>45646</v>
      </c>
      <c r="D64" t="inlineStr">
        <is>
          <t>KRONOBERGS LÄN</t>
        </is>
      </c>
      <c r="E64" t="inlineStr">
        <is>
          <t>VÄXJÖ</t>
        </is>
      </c>
      <c r="F64" t="inlineStr">
        <is>
          <t>Kyrkan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21665-2019</t>
        </is>
      </c>
      <c r="B65" s="1" t="n">
        <v>43581</v>
      </c>
      <c r="C65" s="1" t="n">
        <v>45646</v>
      </c>
      <c r="D65" t="inlineStr">
        <is>
          <t>KRONOBERGS LÄN</t>
        </is>
      </c>
      <c r="E65" t="inlineStr">
        <is>
          <t>VÄXJÖ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22084-2019</t>
        </is>
      </c>
      <c r="B66" s="1" t="n">
        <v>43584</v>
      </c>
      <c r="C66" s="1" t="n">
        <v>45646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22163-2019</t>
        </is>
      </c>
      <c r="B67" s="1" t="n">
        <v>43585</v>
      </c>
      <c r="C67" s="1" t="n">
        <v>45646</v>
      </c>
      <c r="D67" t="inlineStr">
        <is>
          <t>KRONOBERGS LÄN</t>
        </is>
      </c>
      <c r="E67" t="inlineStr">
        <is>
          <t>VÄXJÖ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22395-2019</t>
        </is>
      </c>
      <c r="B68" s="1" t="n">
        <v>43585</v>
      </c>
      <c r="C68" s="1" t="n">
        <v>45646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22381-2019</t>
        </is>
      </c>
      <c r="B69" s="1" t="n">
        <v>43585</v>
      </c>
      <c r="C69" s="1" t="n">
        <v>45646</v>
      </c>
      <c r="D69" t="inlineStr">
        <is>
          <t>KRONOBERGS LÄN</t>
        </is>
      </c>
      <c r="E69" t="inlineStr">
        <is>
          <t>VÄXJÖ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22397-2019</t>
        </is>
      </c>
      <c r="B70" s="1" t="n">
        <v>43585</v>
      </c>
      <c r="C70" s="1" t="n">
        <v>45646</v>
      </c>
      <c r="D70" t="inlineStr">
        <is>
          <t>KRONOBERGS LÄN</t>
        </is>
      </c>
      <c r="E70" t="inlineStr">
        <is>
          <t>VÄXJÖ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22346-2019</t>
        </is>
      </c>
      <c r="B71" s="1" t="n">
        <v>43587</v>
      </c>
      <c r="C71" s="1" t="n">
        <v>45646</v>
      </c>
      <c r="D71" t="inlineStr">
        <is>
          <t>KRONOBERGS LÄN</t>
        </is>
      </c>
      <c r="E71" t="inlineStr">
        <is>
          <t>VÄXJÖ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22349-2019</t>
        </is>
      </c>
      <c r="B72" s="1" t="n">
        <v>43587</v>
      </c>
      <c r="C72" s="1" t="n">
        <v>45646</v>
      </c>
      <c r="D72" t="inlineStr">
        <is>
          <t>KRONOBERGS LÄN</t>
        </is>
      </c>
      <c r="E72" t="inlineStr">
        <is>
          <t>VÄXJÖ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22948-2019</t>
        </is>
      </c>
      <c r="B73" s="1" t="n">
        <v>43591</v>
      </c>
      <c r="C73" s="1" t="n">
        <v>45646</v>
      </c>
      <c r="D73" t="inlineStr">
        <is>
          <t>KRONOBERGS LÄN</t>
        </is>
      </c>
      <c r="E73" t="inlineStr">
        <is>
          <t>VÄXJÖ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23252-2019</t>
        </is>
      </c>
      <c r="B74" s="1" t="n">
        <v>43592</v>
      </c>
      <c r="C74" s="1" t="n">
        <v>45646</v>
      </c>
      <c r="D74" t="inlineStr">
        <is>
          <t>KRONOBERGS LÄN</t>
        </is>
      </c>
      <c r="E74" t="inlineStr">
        <is>
          <t>VÄXJÖ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23375-2019</t>
        </is>
      </c>
      <c r="B75" s="1" t="n">
        <v>43593</v>
      </c>
      <c r="C75" s="1" t="n">
        <v>45646</v>
      </c>
      <c r="D75" t="inlineStr">
        <is>
          <t>KRONOBERGS LÄN</t>
        </is>
      </c>
      <c r="E75" t="inlineStr">
        <is>
          <t>VÄXJÖ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23525-2019</t>
        </is>
      </c>
      <c r="B76" s="1" t="n">
        <v>43594</v>
      </c>
      <c r="C76" s="1" t="n">
        <v>45646</v>
      </c>
      <c r="D76" t="inlineStr">
        <is>
          <t>KRONOBERGS LÄN</t>
        </is>
      </c>
      <c r="E76" t="inlineStr">
        <is>
          <t>VÄXJÖ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23776-2019</t>
        </is>
      </c>
      <c r="B77" s="1" t="n">
        <v>43595</v>
      </c>
      <c r="C77" s="1" t="n">
        <v>45646</v>
      </c>
      <c r="D77" t="inlineStr">
        <is>
          <t>KRONOBERGS LÄN</t>
        </is>
      </c>
      <c r="E77" t="inlineStr">
        <is>
          <t>VÄXJÖ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23882-2019</t>
        </is>
      </c>
      <c r="B78" s="1" t="n">
        <v>43595</v>
      </c>
      <c r="C78" s="1" t="n">
        <v>45646</v>
      </c>
      <c r="D78" t="inlineStr">
        <is>
          <t>KRONOBERGS LÄN</t>
        </is>
      </c>
      <c r="E78" t="inlineStr">
        <is>
          <t>VÄXJÖ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23983-2019</t>
        </is>
      </c>
      <c r="B79" s="1" t="n">
        <v>43598</v>
      </c>
      <c r="C79" s="1" t="n">
        <v>45646</v>
      </c>
      <c r="D79" t="inlineStr">
        <is>
          <t>KRONOBERGS LÄN</t>
        </is>
      </c>
      <c r="E79" t="inlineStr">
        <is>
          <t>VÄXJÖ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24055-2019</t>
        </is>
      </c>
      <c r="B80" s="1" t="n">
        <v>43598</v>
      </c>
      <c r="C80" s="1" t="n">
        <v>45646</v>
      </c>
      <c r="D80" t="inlineStr">
        <is>
          <t>KRONOBERGS LÄN</t>
        </is>
      </c>
      <c r="E80" t="inlineStr">
        <is>
          <t>VÄXJÖ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24748-2019</t>
        </is>
      </c>
      <c r="B81" s="1" t="n">
        <v>43601</v>
      </c>
      <c r="C81" s="1" t="n">
        <v>45646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25843-2019</t>
        </is>
      </c>
      <c r="B82" s="1" t="n">
        <v>43605</v>
      </c>
      <c r="C82" s="1" t="n">
        <v>45646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26478-2019</t>
        </is>
      </c>
      <c r="B83" s="1" t="n">
        <v>43607</v>
      </c>
      <c r="C83" s="1" t="n">
        <v>45646</v>
      </c>
      <c r="D83" t="inlineStr">
        <is>
          <t>KRONOBERGS LÄN</t>
        </is>
      </c>
      <c r="E83" t="inlineStr">
        <is>
          <t>VÄXJÖ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26466-2019</t>
        </is>
      </c>
      <c r="B84" s="1" t="n">
        <v>43607</v>
      </c>
      <c r="C84" s="1" t="n">
        <v>45646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26494-2019</t>
        </is>
      </c>
      <c r="B85" s="1" t="n">
        <v>43607</v>
      </c>
      <c r="C85" s="1" t="n">
        <v>45646</v>
      </c>
      <c r="D85" t="inlineStr">
        <is>
          <t>KRONOBERGS LÄN</t>
        </is>
      </c>
      <c r="E85" t="inlineStr">
        <is>
          <t>VÄXJÖ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25735-2019</t>
        </is>
      </c>
      <c r="B86" s="1" t="n">
        <v>43608</v>
      </c>
      <c r="C86" s="1" t="n">
        <v>45646</v>
      </c>
      <c r="D86" t="inlineStr">
        <is>
          <t>KRONOBERGS LÄN</t>
        </is>
      </c>
      <c r="E86" t="inlineStr">
        <is>
          <t>VÄXJÖ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27614-2019</t>
        </is>
      </c>
      <c r="B87" s="1" t="n">
        <v>43619</v>
      </c>
      <c r="C87" s="1" t="n">
        <v>45646</v>
      </c>
      <c r="D87" t="inlineStr">
        <is>
          <t>KRONOBERGS LÄN</t>
        </is>
      </c>
      <c r="E87" t="inlineStr">
        <is>
          <t>VÄXJÖ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27704-2019</t>
        </is>
      </c>
      <c r="B88" s="1" t="n">
        <v>43619</v>
      </c>
      <c r="C88" s="1" t="n">
        <v>45646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27568-2019</t>
        </is>
      </c>
      <c r="B89" s="1" t="n">
        <v>43619</v>
      </c>
      <c r="C89" s="1" t="n">
        <v>45646</v>
      </c>
      <c r="D89" t="inlineStr">
        <is>
          <t>KRONOBERGS LÄN</t>
        </is>
      </c>
      <c r="E89" t="inlineStr">
        <is>
          <t>VÄXJÖ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27919-2019</t>
        </is>
      </c>
      <c r="B90" s="1" t="n">
        <v>43620</v>
      </c>
      <c r="C90" s="1" t="n">
        <v>45646</v>
      </c>
      <c r="D90" t="inlineStr">
        <is>
          <t>KRONOBERGS LÄN</t>
        </is>
      </c>
      <c r="E90" t="inlineStr">
        <is>
          <t>VÄXJÖ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27913-2019</t>
        </is>
      </c>
      <c r="B91" s="1" t="n">
        <v>43620</v>
      </c>
      <c r="C91" s="1" t="n">
        <v>45646</v>
      </c>
      <c r="D91" t="inlineStr">
        <is>
          <t>KRONOBERGS LÄN</t>
        </is>
      </c>
      <c r="E91" t="inlineStr">
        <is>
          <t>VÄXJÖ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27936-2019</t>
        </is>
      </c>
      <c r="B92" s="1" t="n">
        <v>43620</v>
      </c>
      <c r="C92" s="1" t="n">
        <v>45646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27940-2019</t>
        </is>
      </c>
      <c r="B93" s="1" t="n">
        <v>43620</v>
      </c>
      <c r="C93" s="1" t="n">
        <v>45646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28556-2019</t>
        </is>
      </c>
      <c r="B94" s="1" t="n">
        <v>43626</v>
      </c>
      <c r="C94" s="1" t="n">
        <v>45646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28728-2019</t>
        </is>
      </c>
      <c r="B95" s="1" t="n">
        <v>43627</v>
      </c>
      <c r="C95" s="1" t="n">
        <v>45646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29353-2019</t>
        </is>
      </c>
      <c r="B96" s="1" t="n">
        <v>43629</v>
      </c>
      <c r="C96" s="1" t="n">
        <v>45646</v>
      </c>
      <c r="D96" t="inlineStr">
        <is>
          <t>KRONOBERGS LÄN</t>
        </is>
      </c>
      <c r="E96" t="inlineStr">
        <is>
          <t>VÄXJÖ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30642-2019</t>
        </is>
      </c>
      <c r="B97" s="1" t="n">
        <v>43636</v>
      </c>
      <c r="C97" s="1" t="n">
        <v>45646</v>
      </c>
      <c r="D97" t="inlineStr">
        <is>
          <t>KRONOBERGS LÄN</t>
        </is>
      </c>
      <c r="E97" t="inlineStr">
        <is>
          <t>VÄXJÖ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31003-2019</t>
        </is>
      </c>
      <c r="B98" s="1" t="n">
        <v>43640</v>
      </c>
      <c r="C98" s="1" t="n">
        <v>45646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31484-2019</t>
        </is>
      </c>
      <c r="B99" s="1" t="n">
        <v>43641</v>
      </c>
      <c r="C99" s="1" t="n">
        <v>45646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31339-2019</t>
        </is>
      </c>
      <c r="B100" s="1" t="n">
        <v>43641</v>
      </c>
      <c r="C100" s="1" t="n">
        <v>45646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31550-2019</t>
        </is>
      </c>
      <c r="B101" s="1" t="n">
        <v>43641</v>
      </c>
      <c r="C101" s="1" t="n">
        <v>45646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31505-2019</t>
        </is>
      </c>
      <c r="B102" s="1" t="n">
        <v>43641</v>
      </c>
      <c r="C102" s="1" t="n">
        <v>45646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31797-2019</t>
        </is>
      </c>
      <c r="B103" s="1" t="n">
        <v>43642</v>
      </c>
      <c r="C103" s="1" t="n">
        <v>45646</v>
      </c>
      <c r="D103" t="inlineStr">
        <is>
          <t>KRONOBERGS LÄN</t>
        </is>
      </c>
      <c r="E103" t="inlineStr">
        <is>
          <t>VÄXJÖ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31799-2019</t>
        </is>
      </c>
      <c r="B104" s="1" t="n">
        <v>43642</v>
      </c>
      <c r="C104" s="1" t="n">
        <v>45646</v>
      </c>
      <c r="D104" t="inlineStr">
        <is>
          <t>KRONOBERGS LÄN</t>
        </is>
      </c>
      <c r="E104" t="inlineStr">
        <is>
          <t>VÄXJÖ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31946-2019</t>
        </is>
      </c>
      <c r="B105" s="1" t="n">
        <v>43643</v>
      </c>
      <c r="C105" s="1" t="n">
        <v>45646</v>
      </c>
      <c r="D105" t="inlineStr">
        <is>
          <t>KRONOBERGS LÄN</t>
        </is>
      </c>
      <c r="E105" t="inlineStr">
        <is>
          <t>VÄXJÖ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31999-2019</t>
        </is>
      </c>
      <c r="B106" s="1" t="n">
        <v>43643</v>
      </c>
      <c r="C106" s="1" t="n">
        <v>45646</v>
      </c>
      <c r="D106" t="inlineStr">
        <is>
          <t>KRONOBERGS LÄN</t>
        </is>
      </c>
      <c r="E106" t="inlineStr">
        <is>
          <t>VÄXJÖ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31928-2019</t>
        </is>
      </c>
      <c r="B107" s="1" t="n">
        <v>43643</v>
      </c>
      <c r="C107" s="1" t="n">
        <v>45646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31943-2019</t>
        </is>
      </c>
      <c r="B108" s="1" t="n">
        <v>43643</v>
      </c>
      <c r="C108" s="1" t="n">
        <v>45646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32063-2019</t>
        </is>
      </c>
      <c r="B109" s="1" t="n">
        <v>43643</v>
      </c>
      <c r="C109" s="1" t="n">
        <v>45646</v>
      </c>
      <c r="D109" t="inlineStr">
        <is>
          <t>KRONOBERGS LÄN</t>
        </is>
      </c>
      <c r="E109" t="inlineStr">
        <is>
          <t>VÄXJÖ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32518-2019</t>
        </is>
      </c>
      <c r="B110" s="1" t="n">
        <v>43646</v>
      </c>
      <c r="C110" s="1" t="n">
        <v>45646</v>
      </c>
      <c r="D110" t="inlineStr">
        <is>
          <t>KRONOBERGS LÄN</t>
        </is>
      </c>
      <c r="E110" t="inlineStr">
        <is>
          <t>VÄXJÖ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32598-2019</t>
        </is>
      </c>
      <c r="B111" s="1" t="n">
        <v>43647</v>
      </c>
      <c r="C111" s="1" t="n">
        <v>45646</v>
      </c>
      <c r="D111" t="inlineStr">
        <is>
          <t>KRONOBERGS LÄN</t>
        </is>
      </c>
      <c r="E111" t="inlineStr">
        <is>
          <t>VÄXJÖ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32605-2019</t>
        </is>
      </c>
      <c r="B112" s="1" t="n">
        <v>43647</v>
      </c>
      <c r="C112" s="1" t="n">
        <v>45646</v>
      </c>
      <c r="D112" t="inlineStr">
        <is>
          <t>KRONOBERGS LÄN</t>
        </is>
      </c>
      <c r="E112" t="inlineStr">
        <is>
          <t>VÄXJÖ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33152-2019</t>
        </is>
      </c>
      <c r="B113" s="1" t="n">
        <v>43649</v>
      </c>
      <c r="C113" s="1" t="n">
        <v>45646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33139-2019</t>
        </is>
      </c>
      <c r="B114" s="1" t="n">
        <v>43649</v>
      </c>
      <c r="C114" s="1" t="n">
        <v>45646</v>
      </c>
      <c r="D114" t="inlineStr">
        <is>
          <t>KRONOBERGS LÄN</t>
        </is>
      </c>
      <c r="E114" t="inlineStr">
        <is>
          <t>VÄXJÖ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33022-2019</t>
        </is>
      </c>
      <c r="B115" s="1" t="n">
        <v>43649</v>
      </c>
      <c r="C115" s="1" t="n">
        <v>45646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33286-2019</t>
        </is>
      </c>
      <c r="B116" s="1" t="n">
        <v>43650</v>
      </c>
      <c r="C116" s="1" t="n">
        <v>45646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33487-2019</t>
        </is>
      </c>
      <c r="B117" s="1" t="n">
        <v>43651</v>
      </c>
      <c r="C117" s="1" t="n">
        <v>45646</v>
      </c>
      <c r="D117" t="inlineStr">
        <is>
          <t>KRONOBERGS LÄN</t>
        </is>
      </c>
      <c r="E117" t="inlineStr">
        <is>
          <t>VÄXJÖ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33896-2019</t>
        </is>
      </c>
      <c r="B118" s="1" t="n">
        <v>43653</v>
      </c>
      <c r="C118" s="1" t="n">
        <v>45646</v>
      </c>
      <c r="D118" t="inlineStr">
        <is>
          <t>KRONOBERGS LÄN</t>
        </is>
      </c>
      <c r="E118" t="inlineStr">
        <is>
          <t>VÄXJÖ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33897-2019</t>
        </is>
      </c>
      <c r="B119" s="1" t="n">
        <v>43653</v>
      </c>
      <c r="C119" s="1" t="n">
        <v>45646</v>
      </c>
      <c r="D119" t="inlineStr">
        <is>
          <t>KRONOBERGS LÄN</t>
        </is>
      </c>
      <c r="E119" t="inlineStr">
        <is>
          <t>VÄXJÖ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33970-2019</t>
        </is>
      </c>
      <c r="B120" s="1" t="n">
        <v>43654</v>
      </c>
      <c r="C120" s="1" t="n">
        <v>45646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34200-2019</t>
        </is>
      </c>
      <c r="B121" s="1" t="n">
        <v>43655</v>
      </c>
      <c r="C121" s="1" t="n">
        <v>45646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35640-2019</t>
        </is>
      </c>
      <c r="B122" s="1" t="n">
        <v>43655</v>
      </c>
      <c r="C122" s="1" t="n">
        <v>45646</v>
      </c>
      <c r="D122" t="inlineStr">
        <is>
          <t>KRONOBERGS LÄN</t>
        </is>
      </c>
      <c r="E122" t="inlineStr">
        <is>
          <t>VÄXJÖ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35305-2019</t>
        </is>
      </c>
      <c r="B123" s="1" t="n">
        <v>43662</v>
      </c>
      <c r="C123" s="1" t="n">
        <v>45646</v>
      </c>
      <c r="D123" t="inlineStr">
        <is>
          <t>KRONOBERGS LÄN</t>
        </is>
      </c>
      <c r="E123" t="inlineStr">
        <is>
          <t>VÄXJÖ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35476-2019</t>
        </is>
      </c>
      <c r="B124" s="1" t="n">
        <v>43663</v>
      </c>
      <c r="C124" s="1" t="n">
        <v>45646</v>
      </c>
      <c r="D124" t="inlineStr">
        <is>
          <t>KRONOBERGS LÄN</t>
        </is>
      </c>
      <c r="E124" t="inlineStr">
        <is>
          <t>VÄXJÖ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35473-2019</t>
        </is>
      </c>
      <c r="B125" s="1" t="n">
        <v>43663</v>
      </c>
      <c r="C125" s="1" t="n">
        <v>45646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36264-2019</t>
        </is>
      </c>
      <c r="B126" s="1" t="n">
        <v>43669</v>
      </c>
      <c r="C126" s="1" t="n">
        <v>45646</v>
      </c>
      <c r="D126" t="inlineStr">
        <is>
          <t>KRONOBERGS LÄN</t>
        </is>
      </c>
      <c r="E126" t="inlineStr">
        <is>
          <t>VÄXJÖ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36294-2019</t>
        </is>
      </c>
      <c r="B127" s="1" t="n">
        <v>43669</v>
      </c>
      <c r="C127" s="1" t="n">
        <v>45646</v>
      </c>
      <c r="D127" t="inlineStr">
        <is>
          <t>KRONOBERGS LÄN</t>
        </is>
      </c>
      <c r="E127" t="inlineStr">
        <is>
          <t>VÄXJÖ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36406-2019</t>
        </is>
      </c>
      <c r="B128" s="1" t="n">
        <v>43670</v>
      </c>
      <c r="C128" s="1" t="n">
        <v>45646</v>
      </c>
      <c r="D128" t="inlineStr">
        <is>
          <t>KRONOBERGS LÄN</t>
        </is>
      </c>
      <c r="E128" t="inlineStr">
        <is>
          <t>VÄXJÖ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36396-2019</t>
        </is>
      </c>
      <c r="B129" s="1" t="n">
        <v>43670</v>
      </c>
      <c r="C129" s="1" t="n">
        <v>45646</v>
      </c>
      <c r="D129" t="inlineStr">
        <is>
          <t>KRONOBERGS LÄN</t>
        </is>
      </c>
      <c r="E129" t="inlineStr">
        <is>
          <t>VÄXJÖ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36431-2019</t>
        </is>
      </c>
      <c r="B130" s="1" t="n">
        <v>43670</v>
      </c>
      <c r="C130" s="1" t="n">
        <v>45646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36801-2019</t>
        </is>
      </c>
      <c r="B131" s="1" t="n">
        <v>43672</v>
      </c>
      <c r="C131" s="1" t="n">
        <v>45646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36846-2019</t>
        </is>
      </c>
      <c r="B132" s="1" t="n">
        <v>43675</v>
      </c>
      <c r="C132" s="1" t="n">
        <v>45646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36979-2019</t>
        </is>
      </c>
      <c r="B133" s="1" t="n">
        <v>43676</v>
      </c>
      <c r="C133" s="1" t="n">
        <v>45646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37619-2019</t>
        </is>
      </c>
      <c r="B134" s="1" t="n">
        <v>43681</v>
      </c>
      <c r="C134" s="1" t="n">
        <v>45646</v>
      </c>
      <c r="D134" t="inlineStr">
        <is>
          <t>KRONOBERGS LÄN</t>
        </is>
      </c>
      <c r="E134" t="inlineStr">
        <is>
          <t>VÄXJÖ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37667-2019</t>
        </is>
      </c>
      <c r="B135" s="1" t="n">
        <v>43682</v>
      </c>
      <c r="C135" s="1" t="n">
        <v>45646</v>
      </c>
      <c r="D135" t="inlineStr">
        <is>
          <t>KRONOBERGS LÄN</t>
        </is>
      </c>
      <c r="E135" t="inlineStr">
        <is>
          <t>VÄXJÖ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38193-2019</t>
        </is>
      </c>
      <c r="B136" s="1" t="n">
        <v>43684</v>
      </c>
      <c r="C136" s="1" t="n">
        <v>45646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38717-2019</t>
        </is>
      </c>
      <c r="B137" s="1" t="n">
        <v>43686</v>
      </c>
      <c r="C137" s="1" t="n">
        <v>45646</v>
      </c>
      <c r="D137" t="inlineStr">
        <is>
          <t>KRONOBERGS LÄN</t>
        </is>
      </c>
      <c r="E137" t="inlineStr">
        <is>
          <t>VÄXJÖ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38745-2019</t>
        </is>
      </c>
      <c r="B138" s="1" t="n">
        <v>43686</v>
      </c>
      <c r="C138" s="1" t="n">
        <v>45646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38792-2019</t>
        </is>
      </c>
      <c r="B139" s="1" t="n">
        <v>43688</v>
      </c>
      <c r="C139" s="1" t="n">
        <v>45646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38802-2019</t>
        </is>
      </c>
      <c r="B140" s="1" t="n">
        <v>43688</v>
      </c>
      <c r="C140" s="1" t="n">
        <v>45646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40064-2019</t>
        </is>
      </c>
      <c r="B141" s="1" t="n">
        <v>43693</v>
      </c>
      <c r="C141" s="1" t="n">
        <v>45646</v>
      </c>
      <c r="D141" t="inlineStr">
        <is>
          <t>KRONOBERGS LÄN</t>
        </is>
      </c>
      <c r="E141" t="inlineStr">
        <is>
          <t>VÄXJÖ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40008-2019</t>
        </is>
      </c>
      <c r="B142" s="1" t="n">
        <v>43693</v>
      </c>
      <c r="C142" s="1" t="n">
        <v>45646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40340-2019</t>
        </is>
      </c>
      <c r="B143" s="1" t="n">
        <v>43696</v>
      </c>
      <c r="C143" s="1" t="n">
        <v>45646</v>
      </c>
      <c r="D143" t="inlineStr">
        <is>
          <t>KRONOBERGS LÄN</t>
        </is>
      </c>
      <c r="E143" t="inlineStr">
        <is>
          <t>VÄXJÖ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41072-2019</t>
        </is>
      </c>
      <c r="B144" s="1" t="n">
        <v>43698</v>
      </c>
      <c r="C144" s="1" t="n">
        <v>45646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42090-2019</t>
        </is>
      </c>
      <c r="B145" s="1" t="n">
        <v>43701</v>
      </c>
      <c r="C145" s="1" t="n">
        <v>45646</v>
      </c>
      <c r="D145" t="inlineStr">
        <is>
          <t>KRONOBERGS LÄN</t>
        </is>
      </c>
      <c r="E145" t="inlineStr">
        <is>
          <t>VÄXJÖ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42387-2019</t>
        </is>
      </c>
      <c r="B146" s="1" t="n">
        <v>43703</v>
      </c>
      <c r="C146" s="1" t="n">
        <v>45646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42391-2019</t>
        </is>
      </c>
      <c r="B147" s="1" t="n">
        <v>43703</v>
      </c>
      <c r="C147" s="1" t="n">
        <v>45646</v>
      </c>
      <c r="D147" t="inlineStr">
        <is>
          <t>KRONOBERGS LÄN</t>
        </is>
      </c>
      <c r="E147" t="inlineStr">
        <is>
          <t>VÄXJÖ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42960-2019</t>
        </is>
      </c>
      <c r="B148" s="1" t="n">
        <v>43705</v>
      </c>
      <c r="C148" s="1" t="n">
        <v>45646</v>
      </c>
      <c r="D148" t="inlineStr">
        <is>
          <t>KRONOBERGS LÄN</t>
        </is>
      </c>
      <c r="E148" t="inlineStr">
        <is>
          <t>VÄXJÖ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44390-2019</t>
        </is>
      </c>
      <c r="B149" s="1" t="n">
        <v>43705</v>
      </c>
      <c r="C149" s="1" t="n">
        <v>45646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42944-2019</t>
        </is>
      </c>
      <c r="B150" s="1" t="n">
        <v>43705</v>
      </c>
      <c r="C150" s="1" t="n">
        <v>45646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43244-2019</t>
        </is>
      </c>
      <c r="B151" s="1" t="n">
        <v>43706</v>
      </c>
      <c r="C151" s="1" t="n">
        <v>45646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43457-2019</t>
        </is>
      </c>
      <c r="B152" s="1" t="n">
        <v>43706</v>
      </c>
      <c r="C152" s="1" t="n">
        <v>45646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43456-2019</t>
        </is>
      </c>
      <c r="B153" s="1" t="n">
        <v>43706</v>
      </c>
      <c r="C153" s="1" t="n">
        <v>45646</v>
      </c>
      <c r="D153" t="inlineStr">
        <is>
          <t>KRONOBERGS LÄN</t>
        </is>
      </c>
      <c r="E153" t="inlineStr">
        <is>
          <t>VÄXJÖ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43454-2019</t>
        </is>
      </c>
      <c r="B154" s="1" t="n">
        <v>43706</v>
      </c>
      <c r="C154" s="1" t="n">
        <v>45646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43698-2019</t>
        </is>
      </c>
      <c r="B155" s="1" t="n">
        <v>43707</v>
      </c>
      <c r="C155" s="1" t="n">
        <v>45646</v>
      </c>
      <c r="D155" t="inlineStr">
        <is>
          <t>KRONOBERGS LÄN</t>
        </is>
      </c>
      <c r="E155" t="inlineStr">
        <is>
          <t>VÄXJÖ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43914-2019</t>
        </is>
      </c>
      <c r="B156" s="1" t="n">
        <v>43707</v>
      </c>
      <c r="C156" s="1" t="n">
        <v>45646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43876-2019</t>
        </is>
      </c>
      <c r="B157" s="1" t="n">
        <v>43707</v>
      </c>
      <c r="C157" s="1" t="n">
        <v>45646</v>
      </c>
      <c r="D157" t="inlineStr">
        <is>
          <t>KRONOBERGS LÄN</t>
        </is>
      </c>
      <c r="E157" t="inlineStr">
        <is>
          <t>VÄXJÖ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43852-2019</t>
        </is>
      </c>
      <c r="B158" s="1" t="n">
        <v>43707</v>
      </c>
      <c r="C158" s="1" t="n">
        <v>45646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43877-2019</t>
        </is>
      </c>
      <c r="B159" s="1" t="n">
        <v>43707</v>
      </c>
      <c r="C159" s="1" t="n">
        <v>45646</v>
      </c>
      <c r="D159" t="inlineStr">
        <is>
          <t>KRONOBERGS LÄN</t>
        </is>
      </c>
      <c r="E159" t="inlineStr">
        <is>
          <t>VÄXJÖ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43964-2019</t>
        </is>
      </c>
      <c r="B160" s="1" t="n">
        <v>43708</v>
      </c>
      <c r="C160" s="1" t="n">
        <v>45646</v>
      </c>
      <c r="D160" t="inlineStr">
        <is>
          <t>KRONOBERGS LÄN</t>
        </is>
      </c>
      <c r="E160" t="inlineStr">
        <is>
          <t>VÄXJÖ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43965-2019</t>
        </is>
      </c>
      <c r="B161" s="1" t="n">
        <v>43708</v>
      </c>
      <c r="C161" s="1" t="n">
        <v>45646</v>
      </c>
      <c r="D161" t="inlineStr">
        <is>
          <t>KRONOBERGS LÄN</t>
        </is>
      </c>
      <c r="E161" t="inlineStr">
        <is>
          <t>VÄXJÖ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44023-2019</t>
        </is>
      </c>
      <c r="B162" s="1" t="n">
        <v>43710</v>
      </c>
      <c r="C162" s="1" t="n">
        <v>45646</v>
      </c>
      <c r="D162" t="inlineStr">
        <is>
          <t>KRONOBERGS LÄN</t>
        </is>
      </c>
      <c r="E162" t="inlineStr">
        <is>
          <t>VÄXJÖ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44506-2019</t>
        </is>
      </c>
      <c r="B163" s="1" t="n">
        <v>43711</v>
      </c>
      <c r="C163" s="1" t="n">
        <v>45646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44444-2019</t>
        </is>
      </c>
      <c r="B164" s="1" t="n">
        <v>43711</v>
      </c>
      <c r="C164" s="1" t="n">
        <v>45646</v>
      </c>
      <c r="D164" t="inlineStr">
        <is>
          <t>KRONOBERGS LÄN</t>
        </is>
      </c>
      <c r="E164" t="inlineStr">
        <is>
          <t>VÄXJÖ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44588-2019</t>
        </is>
      </c>
      <c r="B165" s="1" t="n">
        <v>43711</v>
      </c>
      <c r="C165" s="1" t="n">
        <v>45646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44511-2019</t>
        </is>
      </c>
      <c r="B166" s="1" t="n">
        <v>43711</v>
      </c>
      <c r="C166" s="1" t="n">
        <v>45646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45279-2019</t>
        </is>
      </c>
      <c r="B167" s="1" t="n">
        <v>43714</v>
      </c>
      <c r="C167" s="1" t="n">
        <v>45646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45330-2019</t>
        </is>
      </c>
      <c r="B168" s="1" t="n">
        <v>43714</v>
      </c>
      <c r="C168" s="1" t="n">
        <v>45646</v>
      </c>
      <c r="D168" t="inlineStr">
        <is>
          <t>KRONOBERGS LÄN</t>
        </is>
      </c>
      <c r="E168" t="inlineStr">
        <is>
          <t>VÄXJÖ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45409-2019</t>
        </is>
      </c>
      <c r="B169" s="1" t="n">
        <v>43714</v>
      </c>
      <c r="C169" s="1" t="n">
        <v>45646</v>
      </c>
      <c r="D169" t="inlineStr">
        <is>
          <t>KRONOBERGS LÄN</t>
        </is>
      </c>
      <c r="E169" t="inlineStr">
        <is>
          <t>VÄXJÖ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45559-2019</t>
        </is>
      </c>
      <c r="B170" s="1" t="n">
        <v>43715</v>
      </c>
      <c r="C170" s="1" t="n">
        <v>45646</v>
      </c>
      <c r="D170" t="inlineStr">
        <is>
          <t>KRONOBERGS LÄN</t>
        </is>
      </c>
      <c r="E170" t="inlineStr">
        <is>
          <t>VÄXJÖ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45562-2019</t>
        </is>
      </c>
      <c r="B171" s="1" t="n">
        <v>43715</v>
      </c>
      <c r="C171" s="1" t="n">
        <v>45646</v>
      </c>
      <c r="D171" t="inlineStr">
        <is>
          <t>KRONOBERGS LÄN</t>
        </is>
      </c>
      <c r="E171" t="inlineStr">
        <is>
          <t>VÄXJÖ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45760-2019</t>
        </is>
      </c>
      <c r="B172" s="1" t="n">
        <v>43717</v>
      </c>
      <c r="C172" s="1" t="n">
        <v>45646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45606-2019</t>
        </is>
      </c>
      <c r="B173" s="1" t="n">
        <v>43717</v>
      </c>
      <c r="C173" s="1" t="n">
        <v>45646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46322-2019</t>
        </is>
      </c>
      <c r="B174" s="1" t="n">
        <v>43718</v>
      </c>
      <c r="C174" s="1" t="n">
        <v>45646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45967-2019</t>
        </is>
      </c>
      <c r="B175" s="1" t="n">
        <v>43718</v>
      </c>
      <c r="C175" s="1" t="n">
        <v>45646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46410-2019</t>
        </is>
      </c>
      <c r="B176" s="1" t="n">
        <v>43719</v>
      </c>
      <c r="C176" s="1" t="n">
        <v>45646</v>
      </c>
      <c r="D176" t="inlineStr">
        <is>
          <t>KRONOBERGS LÄN</t>
        </is>
      </c>
      <c r="E176" t="inlineStr">
        <is>
          <t>VÄXJÖ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46436-2019</t>
        </is>
      </c>
      <c r="B177" s="1" t="n">
        <v>43719</v>
      </c>
      <c r="C177" s="1" t="n">
        <v>45646</v>
      </c>
      <c r="D177" t="inlineStr">
        <is>
          <t>KRONOBERGS LÄN</t>
        </is>
      </c>
      <c r="E177" t="inlineStr">
        <is>
          <t>VÄXJÖ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46778-2019</t>
        </is>
      </c>
      <c r="B178" s="1" t="n">
        <v>43720</v>
      </c>
      <c r="C178" s="1" t="n">
        <v>45646</v>
      </c>
      <c r="D178" t="inlineStr">
        <is>
          <t>KRONOBERGS LÄN</t>
        </is>
      </c>
      <c r="E178" t="inlineStr">
        <is>
          <t>VÄXJÖ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46750-2019</t>
        </is>
      </c>
      <c r="B179" s="1" t="n">
        <v>43720</v>
      </c>
      <c r="C179" s="1" t="n">
        <v>45646</v>
      </c>
      <c r="D179" t="inlineStr">
        <is>
          <t>KRONOBERGS LÄN</t>
        </is>
      </c>
      <c r="E179" t="inlineStr">
        <is>
          <t>VÄXJÖ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47043-2019</t>
        </is>
      </c>
      <c r="B180" s="1" t="n">
        <v>43720</v>
      </c>
      <c r="C180" s="1" t="n">
        <v>45646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47328-2019</t>
        </is>
      </c>
      <c r="B181" s="1" t="n">
        <v>43721</v>
      </c>
      <c r="C181" s="1" t="n">
        <v>45646</v>
      </c>
      <c r="D181" t="inlineStr">
        <is>
          <t>KRONOBERGS LÄN</t>
        </is>
      </c>
      <c r="E181" t="inlineStr">
        <is>
          <t>VÄXJÖ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47376-2019</t>
        </is>
      </c>
      <c r="B182" s="1" t="n">
        <v>43721</v>
      </c>
      <c r="C182" s="1" t="n">
        <v>45646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47679-2019</t>
        </is>
      </c>
      <c r="B183" s="1" t="n">
        <v>43724</v>
      </c>
      <c r="C183" s="1" t="n">
        <v>45646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47826-2019</t>
        </is>
      </c>
      <c r="B184" s="1" t="n">
        <v>43724</v>
      </c>
      <c r="C184" s="1" t="n">
        <v>45646</v>
      </c>
      <c r="D184" t="inlineStr">
        <is>
          <t>KRONOBERGS LÄN</t>
        </is>
      </c>
      <c r="E184" t="inlineStr">
        <is>
          <t>VÄXJÖ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47955-2019</t>
        </is>
      </c>
      <c r="B185" s="1" t="n">
        <v>43725</v>
      </c>
      <c r="C185" s="1" t="n">
        <v>45646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47853-2019</t>
        </is>
      </c>
      <c r="B186" s="1" t="n">
        <v>43725</v>
      </c>
      <c r="C186" s="1" t="n">
        <v>45646</v>
      </c>
      <c r="D186" t="inlineStr">
        <is>
          <t>KRONOBERGS LÄN</t>
        </is>
      </c>
      <c r="E186" t="inlineStr">
        <is>
          <t>VÄXJÖ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48079-2019</t>
        </is>
      </c>
      <c r="B187" s="1" t="n">
        <v>43725</v>
      </c>
      <c r="C187" s="1" t="n">
        <v>45646</v>
      </c>
      <c r="D187" t="inlineStr">
        <is>
          <t>KRONOBERGS LÄN</t>
        </is>
      </c>
      <c r="E187" t="inlineStr">
        <is>
          <t>VÄXJÖ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48055-2019</t>
        </is>
      </c>
      <c r="B188" s="1" t="n">
        <v>43725</v>
      </c>
      <c r="C188" s="1" t="n">
        <v>45646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48442-2019</t>
        </is>
      </c>
      <c r="B189" s="1" t="n">
        <v>43727</v>
      </c>
      <c r="C189" s="1" t="n">
        <v>45646</v>
      </c>
      <c r="D189" t="inlineStr">
        <is>
          <t>KRONOBERGS LÄN</t>
        </is>
      </c>
      <c r="E189" t="inlineStr">
        <is>
          <t>VÄXJÖ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49285-2019</t>
        </is>
      </c>
      <c r="B190" s="1" t="n">
        <v>43731</v>
      </c>
      <c r="C190" s="1" t="n">
        <v>45646</v>
      </c>
      <c r="D190" t="inlineStr">
        <is>
          <t>KRONOBERGS LÄN</t>
        </is>
      </c>
      <c r="E190" t="inlineStr">
        <is>
          <t>VÄXJÖ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49564-2019</t>
        </is>
      </c>
      <c r="B191" s="1" t="n">
        <v>43732</v>
      </c>
      <c r="C191" s="1" t="n">
        <v>45646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49566-2019</t>
        </is>
      </c>
      <c r="B192" s="1" t="n">
        <v>43732</v>
      </c>
      <c r="C192" s="1" t="n">
        <v>45646</v>
      </c>
      <c r="D192" t="inlineStr">
        <is>
          <t>KRONOBERGS LÄN</t>
        </is>
      </c>
      <c r="E192" t="inlineStr">
        <is>
          <t>VÄXJÖ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49627-2019</t>
        </is>
      </c>
      <c r="B193" s="1" t="n">
        <v>43732</v>
      </c>
      <c r="C193" s="1" t="n">
        <v>45646</v>
      </c>
      <c r="D193" t="inlineStr">
        <is>
          <t>KRONOBERGS LÄN</t>
        </is>
      </c>
      <c r="E193" t="inlineStr">
        <is>
          <t>VÄXJÖ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49843-2019</t>
        </is>
      </c>
      <c r="B194" s="1" t="n">
        <v>43733</v>
      </c>
      <c r="C194" s="1" t="n">
        <v>45646</v>
      </c>
      <c r="D194" t="inlineStr">
        <is>
          <t>KRONOBERGS LÄN</t>
        </is>
      </c>
      <c r="E194" t="inlineStr">
        <is>
          <t>VÄXJÖ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49940-2019</t>
        </is>
      </c>
      <c r="B195" s="1" t="n">
        <v>43733</v>
      </c>
      <c r="C195" s="1" t="n">
        <v>45646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49897-2019</t>
        </is>
      </c>
      <c r="B196" s="1" t="n">
        <v>43733</v>
      </c>
      <c r="C196" s="1" t="n">
        <v>45646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52805-2019</t>
        </is>
      </c>
      <c r="B197" s="1" t="n">
        <v>43739</v>
      </c>
      <c r="C197" s="1" t="n">
        <v>45646</v>
      </c>
      <c r="D197" t="inlineStr">
        <is>
          <t>KRONOBERGS LÄN</t>
        </is>
      </c>
      <c r="E197" t="inlineStr">
        <is>
          <t>VÄXJÖ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51911-2019</t>
        </is>
      </c>
      <c r="B198" s="1" t="n">
        <v>43741</v>
      </c>
      <c r="C198" s="1" t="n">
        <v>45646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51915-2019</t>
        </is>
      </c>
      <c r="B199" s="1" t="n">
        <v>43741</v>
      </c>
      <c r="C199" s="1" t="n">
        <v>45646</v>
      </c>
      <c r="D199" t="inlineStr">
        <is>
          <t>KRONOBERGS LÄN</t>
        </is>
      </c>
      <c r="E199" t="inlineStr">
        <is>
          <t>VÄXJÖ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54033-2019</t>
        </is>
      </c>
      <c r="B200" s="1" t="n">
        <v>43745</v>
      </c>
      <c r="C200" s="1" t="n">
        <v>45646</v>
      </c>
      <c r="D200" t="inlineStr">
        <is>
          <t>KRONOBERGS LÄN</t>
        </is>
      </c>
      <c r="E200" t="inlineStr">
        <is>
          <t>VÄXJÖ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54153-2019</t>
        </is>
      </c>
      <c r="B201" s="1" t="n">
        <v>43745</v>
      </c>
      <c r="C201" s="1" t="n">
        <v>45646</v>
      </c>
      <c r="D201" t="inlineStr">
        <is>
          <t>KRONOBERGS LÄN</t>
        </is>
      </c>
      <c r="E201" t="inlineStr">
        <is>
          <t>VÄXJÖ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52822-2019</t>
        </is>
      </c>
      <c r="B202" s="1" t="n">
        <v>43746</v>
      </c>
      <c r="C202" s="1" t="n">
        <v>45646</v>
      </c>
      <c r="D202" t="inlineStr">
        <is>
          <t>KRONOBERGS LÄN</t>
        </is>
      </c>
      <c r="E202" t="inlineStr">
        <is>
          <t>VÄXJÖ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52843-2019</t>
        </is>
      </c>
      <c r="B203" s="1" t="n">
        <v>43746</v>
      </c>
      <c r="C203" s="1" t="n">
        <v>45646</v>
      </c>
      <c r="D203" t="inlineStr">
        <is>
          <t>KRONOBERGS LÄN</t>
        </is>
      </c>
      <c r="E203" t="inlineStr">
        <is>
          <t>VÄXJÖ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53583-2019</t>
        </is>
      </c>
      <c r="B204" s="1" t="n">
        <v>43749</v>
      </c>
      <c r="C204" s="1" t="n">
        <v>45646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53566-2019</t>
        </is>
      </c>
      <c r="B205" s="1" t="n">
        <v>43749</v>
      </c>
      <c r="C205" s="1" t="n">
        <v>45646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53902-2019</t>
        </is>
      </c>
      <c r="B206" s="1" t="n">
        <v>43752</v>
      </c>
      <c r="C206" s="1" t="n">
        <v>45646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53956-2019</t>
        </is>
      </c>
      <c r="B207" s="1" t="n">
        <v>43752</v>
      </c>
      <c r="C207" s="1" t="n">
        <v>45646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53897-2019</t>
        </is>
      </c>
      <c r="B208" s="1" t="n">
        <v>43752</v>
      </c>
      <c r="C208" s="1" t="n">
        <v>45646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55044-2019</t>
        </is>
      </c>
      <c r="B209" s="1" t="n">
        <v>43756</v>
      </c>
      <c r="C209" s="1" t="n">
        <v>45646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55041-2019</t>
        </is>
      </c>
      <c r="B210" s="1" t="n">
        <v>43756</v>
      </c>
      <c r="C210" s="1" t="n">
        <v>45646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55542-2019</t>
        </is>
      </c>
      <c r="B211" s="1" t="n">
        <v>43756</v>
      </c>
      <c r="C211" s="1" t="n">
        <v>45646</v>
      </c>
      <c r="D211" t="inlineStr">
        <is>
          <t>KRONOBERGS LÄN</t>
        </is>
      </c>
      <c r="E211" t="inlineStr">
        <is>
          <t>VÄXJÖ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55429-2019</t>
        </is>
      </c>
      <c r="B212" s="1" t="n">
        <v>43756</v>
      </c>
      <c r="C212" s="1" t="n">
        <v>45646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55042-2019</t>
        </is>
      </c>
      <c r="B213" s="1" t="n">
        <v>43756</v>
      </c>
      <c r="C213" s="1" t="n">
        <v>45646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55994-2019</t>
        </is>
      </c>
      <c r="B214" s="1" t="n">
        <v>43761</v>
      </c>
      <c r="C214" s="1" t="n">
        <v>45646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56775-2019</t>
        </is>
      </c>
      <c r="B215" s="1" t="n">
        <v>43763</v>
      </c>
      <c r="C215" s="1" t="n">
        <v>45646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56771-2019</t>
        </is>
      </c>
      <c r="B216" s="1" t="n">
        <v>43763</v>
      </c>
      <c r="C216" s="1" t="n">
        <v>45646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58529-2019</t>
        </is>
      </c>
      <c r="B217" s="1" t="n">
        <v>43766</v>
      </c>
      <c r="C217" s="1" t="n">
        <v>45646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57544-2019</t>
        </is>
      </c>
      <c r="B218" s="1" t="n">
        <v>43767</v>
      </c>
      <c r="C218" s="1" t="n">
        <v>45646</v>
      </c>
      <c r="D218" t="inlineStr">
        <is>
          <t>KRONOBERGS LÄN</t>
        </is>
      </c>
      <c r="E218" t="inlineStr">
        <is>
          <t>VÄXJÖ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57383-2019</t>
        </is>
      </c>
      <c r="B219" s="1" t="n">
        <v>43767</v>
      </c>
      <c r="C219" s="1" t="n">
        <v>45646</v>
      </c>
      <c r="D219" t="inlineStr">
        <is>
          <t>KRONOBERGS LÄN</t>
        </is>
      </c>
      <c r="E219" t="inlineStr">
        <is>
          <t>VÄXJÖ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57681-2019</t>
        </is>
      </c>
      <c r="B220" s="1" t="n">
        <v>43768</v>
      </c>
      <c r="C220" s="1" t="n">
        <v>45646</v>
      </c>
      <c r="D220" t="inlineStr">
        <is>
          <t>KRONOBERGS LÄN</t>
        </is>
      </c>
      <c r="E220" t="inlineStr">
        <is>
          <t>VÄXJÖ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58137-2019</t>
        </is>
      </c>
      <c r="B221" s="1" t="n">
        <v>43769</v>
      </c>
      <c r="C221" s="1" t="n">
        <v>45646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59666-2019</t>
        </is>
      </c>
      <c r="B222" s="1" t="n">
        <v>43776</v>
      </c>
      <c r="C222" s="1" t="n">
        <v>45646</v>
      </c>
      <c r="D222" t="inlineStr">
        <is>
          <t>KRONOBERGS LÄN</t>
        </is>
      </c>
      <c r="E222" t="inlineStr">
        <is>
          <t>VÄXJÖ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60339-2019</t>
        </is>
      </c>
      <c r="B223" s="1" t="n">
        <v>43780</v>
      </c>
      <c r="C223" s="1" t="n">
        <v>45646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61153-2019</t>
        </is>
      </c>
      <c r="B224" s="1" t="n">
        <v>43782</v>
      </c>
      <c r="C224" s="1" t="n">
        <v>45646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61243-2019</t>
        </is>
      </c>
      <c r="B225" s="1" t="n">
        <v>43783</v>
      </c>
      <c r="C225" s="1" t="n">
        <v>45646</v>
      </c>
      <c r="D225" t="inlineStr">
        <is>
          <t>KRONOBERGS LÄN</t>
        </is>
      </c>
      <c r="E225" t="inlineStr">
        <is>
          <t>VÄXJÖ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62769-2019</t>
        </is>
      </c>
      <c r="B226" s="1" t="n">
        <v>43790</v>
      </c>
      <c r="C226" s="1" t="n">
        <v>45646</v>
      </c>
      <c r="D226" t="inlineStr">
        <is>
          <t>KRONOBERGS LÄN</t>
        </is>
      </c>
      <c r="E226" t="inlineStr">
        <is>
          <t>VÄXJÖ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62761-2019</t>
        </is>
      </c>
      <c r="B227" s="1" t="n">
        <v>43790</v>
      </c>
      <c r="C227" s="1" t="n">
        <v>45646</v>
      </c>
      <c r="D227" t="inlineStr">
        <is>
          <t>KRONOBERGS LÄN</t>
        </is>
      </c>
      <c r="E227" t="inlineStr">
        <is>
          <t>VÄXJÖ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63081-2019</t>
        </is>
      </c>
      <c r="B228" s="1" t="n">
        <v>43791</v>
      </c>
      <c r="C228" s="1" t="n">
        <v>45646</v>
      </c>
      <c r="D228" t="inlineStr">
        <is>
          <t>KRONOBERGS LÄN</t>
        </is>
      </c>
      <c r="E228" t="inlineStr">
        <is>
          <t>VÄXJÖ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63156-2019</t>
        </is>
      </c>
      <c r="B229" s="1" t="n">
        <v>43791</v>
      </c>
      <c r="C229" s="1" t="n">
        <v>45646</v>
      </c>
      <c r="D229" t="inlineStr">
        <is>
          <t>KRONOBERGS LÄN</t>
        </is>
      </c>
      <c r="E229" t="inlineStr">
        <is>
          <t>VÄXJÖ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63814-2019</t>
        </is>
      </c>
      <c r="B230" s="1" t="n">
        <v>43795</v>
      </c>
      <c r="C230" s="1" t="n">
        <v>45646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64024-2019</t>
        </is>
      </c>
      <c r="B231" s="1" t="n">
        <v>43796</v>
      </c>
      <c r="C231" s="1" t="n">
        <v>45646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64034-2019</t>
        </is>
      </c>
      <c r="B232" s="1" t="n">
        <v>43796</v>
      </c>
      <c r="C232" s="1" t="n">
        <v>45646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64075-2019</t>
        </is>
      </c>
      <c r="B233" s="1" t="n">
        <v>43796</v>
      </c>
      <c r="C233" s="1" t="n">
        <v>45646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64202-2019</t>
        </is>
      </c>
      <c r="B234" s="1" t="n">
        <v>43797</v>
      </c>
      <c r="C234" s="1" t="n">
        <v>45646</v>
      </c>
      <c r="D234" t="inlineStr">
        <is>
          <t>KRONOBERGS LÄN</t>
        </is>
      </c>
      <c r="E234" t="inlineStr">
        <is>
          <t>VÄXJÖ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64278-2019</t>
        </is>
      </c>
      <c r="B235" s="1" t="n">
        <v>43797</v>
      </c>
      <c r="C235" s="1" t="n">
        <v>45646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64289-2019</t>
        </is>
      </c>
      <c r="B236" s="1" t="n">
        <v>43797</v>
      </c>
      <c r="C236" s="1" t="n">
        <v>45646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64378-2019</t>
        </is>
      </c>
      <c r="B237" s="1" t="n">
        <v>43797</v>
      </c>
      <c r="C237" s="1" t="n">
        <v>45646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64608-2019</t>
        </is>
      </c>
      <c r="B238" s="1" t="n">
        <v>43798</v>
      </c>
      <c r="C238" s="1" t="n">
        <v>45646</v>
      </c>
      <c r="D238" t="inlineStr">
        <is>
          <t>KRONOBERGS LÄN</t>
        </is>
      </c>
      <c r="E238" t="inlineStr">
        <is>
          <t>VÄXJÖ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64597-2019</t>
        </is>
      </c>
      <c r="B239" s="1" t="n">
        <v>43798</v>
      </c>
      <c r="C239" s="1" t="n">
        <v>45646</v>
      </c>
      <c r="D239" t="inlineStr">
        <is>
          <t>KRONOBERGS LÄN</t>
        </is>
      </c>
      <c r="E239" t="inlineStr">
        <is>
          <t>VÄXJÖ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65171-2019</t>
        </is>
      </c>
      <c r="B240" s="1" t="n">
        <v>43802</v>
      </c>
      <c r="C240" s="1" t="n">
        <v>45646</v>
      </c>
      <c r="D240" t="inlineStr">
        <is>
          <t>KRONOBERGS LÄN</t>
        </is>
      </c>
      <c r="E240" t="inlineStr">
        <is>
          <t>VÄXJÖ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65172-2019</t>
        </is>
      </c>
      <c r="B241" s="1" t="n">
        <v>43802</v>
      </c>
      <c r="C241" s="1" t="n">
        <v>45646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65175-2019</t>
        </is>
      </c>
      <c r="B242" s="1" t="n">
        <v>43802</v>
      </c>
      <c r="C242" s="1" t="n">
        <v>45646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65173-2019</t>
        </is>
      </c>
      <c r="B243" s="1" t="n">
        <v>43802</v>
      </c>
      <c r="C243" s="1" t="n">
        <v>45646</v>
      </c>
      <c r="D243" t="inlineStr">
        <is>
          <t>KRONOBERGS LÄN</t>
        </is>
      </c>
      <c r="E243" t="inlineStr">
        <is>
          <t>VÄXJÖ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65838-2019</t>
        </is>
      </c>
      <c r="B244" s="1" t="n">
        <v>43805</v>
      </c>
      <c r="C244" s="1" t="n">
        <v>45646</v>
      </c>
      <c r="D244" t="inlineStr">
        <is>
          <t>KRONOBERGS LÄN</t>
        </is>
      </c>
      <c r="E244" t="inlineStr">
        <is>
          <t>VÄXJÖ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65843-2019</t>
        </is>
      </c>
      <c r="B245" s="1" t="n">
        <v>43805</v>
      </c>
      <c r="C245" s="1" t="n">
        <v>45646</v>
      </c>
      <c r="D245" t="inlineStr">
        <is>
          <t>KRONOBERGS LÄN</t>
        </is>
      </c>
      <c r="E245" t="inlineStr">
        <is>
          <t>VÄXJÖ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66994-2019</t>
        </is>
      </c>
      <c r="B246" s="1" t="n">
        <v>43805</v>
      </c>
      <c r="C246" s="1" t="n">
        <v>45646</v>
      </c>
      <c r="D246" t="inlineStr">
        <is>
          <t>KRONOBERGS LÄN</t>
        </is>
      </c>
      <c r="E246" t="inlineStr">
        <is>
          <t>VÄXJÖ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67766-2019</t>
        </is>
      </c>
      <c r="B247" s="1" t="n">
        <v>43815</v>
      </c>
      <c r="C247" s="1" t="n">
        <v>45646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67917-2019</t>
        </is>
      </c>
      <c r="B248" s="1" t="n">
        <v>43816</v>
      </c>
      <c r="C248" s="1" t="n">
        <v>45646</v>
      </c>
      <c r="D248" t="inlineStr">
        <is>
          <t>KRONOBERGS LÄN</t>
        </is>
      </c>
      <c r="E248" t="inlineStr">
        <is>
          <t>VÄXJÖ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68160-2019</t>
        </is>
      </c>
      <c r="B249" s="1" t="n">
        <v>43817</v>
      </c>
      <c r="C249" s="1" t="n">
        <v>45646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68946-2019</t>
        </is>
      </c>
      <c r="B250" s="1" t="n">
        <v>43822</v>
      </c>
      <c r="C250" s="1" t="n">
        <v>45646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68945-2019</t>
        </is>
      </c>
      <c r="B251" s="1" t="n">
        <v>43822</v>
      </c>
      <c r="C251" s="1" t="n">
        <v>45646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459-2020</t>
        </is>
      </c>
      <c r="B252" s="1" t="n">
        <v>43837</v>
      </c>
      <c r="C252" s="1" t="n">
        <v>45646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497-2020</t>
        </is>
      </c>
      <c r="B253" s="1" t="n">
        <v>43837</v>
      </c>
      <c r="C253" s="1" t="n">
        <v>45646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456-2020</t>
        </is>
      </c>
      <c r="B254" s="1" t="n">
        <v>43837</v>
      </c>
      <c r="C254" s="1" t="n">
        <v>45646</v>
      </c>
      <c r="D254" t="inlineStr">
        <is>
          <t>KRONOBERGS LÄN</t>
        </is>
      </c>
      <c r="E254" t="inlineStr">
        <is>
          <t>VÄXJÖ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631-2020</t>
        </is>
      </c>
      <c r="B255" s="1" t="n">
        <v>43838</v>
      </c>
      <c r="C255" s="1" t="n">
        <v>45646</v>
      </c>
      <c r="D255" t="inlineStr">
        <is>
          <t>KRONOBERGS LÄN</t>
        </is>
      </c>
      <c r="E255" t="inlineStr">
        <is>
          <t>VÄXJÖ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1064-2020</t>
        </is>
      </c>
      <c r="B256" s="1" t="n">
        <v>43839</v>
      </c>
      <c r="C256" s="1" t="n">
        <v>45646</v>
      </c>
      <c r="D256" t="inlineStr">
        <is>
          <t>KRONOBERGS LÄN</t>
        </is>
      </c>
      <c r="E256" t="inlineStr">
        <is>
          <t>VÄXJÖ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907-2020</t>
        </is>
      </c>
      <c r="B257" s="1" t="n">
        <v>43839</v>
      </c>
      <c r="C257" s="1" t="n">
        <v>45646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994-2020</t>
        </is>
      </c>
      <c r="B258" s="1" t="n">
        <v>43839</v>
      </c>
      <c r="C258" s="1" t="n">
        <v>45646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1023-2020</t>
        </is>
      </c>
      <c r="B259" s="1" t="n">
        <v>43839</v>
      </c>
      <c r="C259" s="1" t="n">
        <v>45646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1248-2020</t>
        </is>
      </c>
      <c r="B260" s="1" t="n">
        <v>43840</v>
      </c>
      <c r="C260" s="1" t="n">
        <v>45646</v>
      </c>
      <c r="D260" t="inlineStr">
        <is>
          <t>KRONOBERGS LÄN</t>
        </is>
      </c>
      <c r="E260" t="inlineStr">
        <is>
          <t>VÄXJÖ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1599-2020</t>
        </is>
      </c>
      <c r="B261" s="1" t="n">
        <v>43844</v>
      </c>
      <c r="C261" s="1" t="n">
        <v>45646</v>
      </c>
      <c r="D261" t="inlineStr">
        <is>
          <t>KRONOBERGS LÄN</t>
        </is>
      </c>
      <c r="E261" t="inlineStr">
        <is>
          <t>VÄXJÖ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1706-2020</t>
        </is>
      </c>
      <c r="B262" s="1" t="n">
        <v>43844</v>
      </c>
      <c r="C262" s="1" t="n">
        <v>45646</v>
      </c>
      <c r="D262" t="inlineStr">
        <is>
          <t>KRONOBERGS LÄN</t>
        </is>
      </c>
      <c r="E262" t="inlineStr">
        <is>
          <t>VÄXJÖ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1743-2020</t>
        </is>
      </c>
      <c r="B263" s="1" t="n">
        <v>43844</v>
      </c>
      <c r="C263" s="1" t="n">
        <v>45646</v>
      </c>
      <c r="D263" t="inlineStr">
        <is>
          <t>KRONOBERGS LÄN</t>
        </is>
      </c>
      <c r="E263" t="inlineStr">
        <is>
          <t>VÄXJÖ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1702-2020</t>
        </is>
      </c>
      <c r="B264" s="1" t="n">
        <v>43844</v>
      </c>
      <c r="C264" s="1" t="n">
        <v>45646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1709-2020</t>
        </is>
      </c>
      <c r="B265" s="1" t="n">
        <v>43844</v>
      </c>
      <c r="C265" s="1" t="n">
        <v>45646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1704-2020</t>
        </is>
      </c>
      <c r="B266" s="1" t="n">
        <v>43844</v>
      </c>
      <c r="C266" s="1" t="n">
        <v>45646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2325-2020</t>
        </is>
      </c>
      <c r="B267" s="1" t="n">
        <v>43846</v>
      </c>
      <c r="C267" s="1" t="n">
        <v>45646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2506-2020</t>
        </is>
      </c>
      <c r="B268" s="1" t="n">
        <v>43847</v>
      </c>
      <c r="C268" s="1" t="n">
        <v>45646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2510-2020</t>
        </is>
      </c>
      <c r="B269" s="1" t="n">
        <v>43847</v>
      </c>
      <c r="C269" s="1" t="n">
        <v>45646</v>
      </c>
      <c r="D269" t="inlineStr">
        <is>
          <t>KRONOBERGS LÄN</t>
        </is>
      </c>
      <c r="E269" t="inlineStr">
        <is>
          <t>VÄXJÖ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2644-2020</t>
        </is>
      </c>
      <c r="B270" s="1" t="n">
        <v>43847</v>
      </c>
      <c r="C270" s="1" t="n">
        <v>45646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3056-2020</t>
        </is>
      </c>
      <c r="B271" s="1" t="n">
        <v>43851</v>
      </c>
      <c r="C271" s="1" t="n">
        <v>45646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4111-2020</t>
        </is>
      </c>
      <c r="B272" s="1" t="n">
        <v>43857</v>
      </c>
      <c r="C272" s="1" t="n">
        <v>45646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4563-2020</t>
        </is>
      </c>
      <c r="B273" s="1" t="n">
        <v>43858</v>
      </c>
      <c r="C273" s="1" t="n">
        <v>45646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5366-2020</t>
        </is>
      </c>
      <c r="B274" s="1" t="n">
        <v>43860</v>
      </c>
      <c r="C274" s="1" t="n">
        <v>45646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5655-2020</t>
        </is>
      </c>
      <c r="B275" s="1" t="n">
        <v>43861</v>
      </c>
      <c r="C275" s="1" t="n">
        <v>45646</v>
      </c>
      <c r="D275" t="inlineStr">
        <is>
          <t>KRONOBERGS LÄN</t>
        </is>
      </c>
      <c r="E275" t="inlineStr">
        <is>
          <t>VÄXJÖ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5480-2020</t>
        </is>
      </c>
      <c r="B276" s="1" t="n">
        <v>43861</v>
      </c>
      <c r="C276" s="1" t="n">
        <v>45646</v>
      </c>
      <c r="D276" t="inlineStr">
        <is>
          <t>KRONOBERGS LÄN</t>
        </is>
      </c>
      <c r="E276" t="inlineStr">
        <is>
          <t>VÄXJÖ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5668-2020</t>
        </is>
      </c>
      <c r="B277" s="1" t="n">
        <v>43861</v>
      </c>
      <c r="C277" s="1" t="n">
        <v>45646</v>
      </c>
      <c r="D277" t="inlineStr">
        <is>
          <t>KRONOBERGS LÄN</t>
        </is>
      </c>
      <c r="E277" t="inlineStr">
        <is>
          <t>VÄXJÖ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5621-2020</t>
        </is>
      </c>
      <c r="B278" s="1" t="n">
        <v>43861</v>
      </c>
      <c r="C278" s="1" t="n">
        <v>45646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6609-2020</t>
        </is>
      </c>
      <c r="B279" s="1" t="n">
        <v>43867</v>
      </c>
      <c r="C279" s="1" t="n">
        <v>45646</v>
      </c>
      <c r="D279" t="inlineStr">
        <is>
          <t>KRONOBERGS LÄN</t>
        </is>
      </c>
      <c r="E279" t="inlineStr">
        <is>
          <t>VÄXJÖ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6737-2020</t>
        </is>
      </c>
      <c r="B280" s="1" t="n">
        <v>43867</v>
      </c>
      <c r="C280" s="1" t="n">
        <v>45646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6523-2020</t>
        </is>
      </c>
      <c r="B281" s="1" t="n">
        <v>43867</v>
      </c>
      <c r="C281" s="1" t="n">
        <v>45646</v>
      </c>
      <c r="D281" t="inlineStr">
        <is>
          <t>KRONOBERGS LÄN</t>
        </is>
      </c>
      <c r="E281" t="inlineStr">
        <is>
          <t>VÄXJÖ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6726-2020</t>
        </is>
      </c>
      <c r="B282" s="1" t="n">
        <v>43867</v>
      </c>
      <c r="C282" s="1" t="n">
        <v>45646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7189-2020</t>
        </is>
      </c>
      <c r="B283" s="1" t="n">
        <v>43871</v>
      </c>
      <c r="C283" s="1" t="n">
        <v>45646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7515-2020</t>
        </is>
      </c>
      <c r="B284" s="1" t="n">
        <v>43872</v>
      </c>
      <c r="C284" s="1" t="n">
        <v>45646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7878-2020</t>
        </is>
      </c>
      <c r="B285" s="1" t="n">
        <v>43873</v>
      </c>
      <c r="C285" s="1" t="n">
        <v>45646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7976-2020</t>
        </is>
      </c>
      <c r="B286" s="1" t="n">
        <v>43873</v>
      </c>
      <c r="C286" s="1" t="n">
        <v>45646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8078-2020</t>
        </is>
      </c>
      <c r="B287" s="1" t="n">
        <v>43874</v>
      </c>
      <c r="C287" s="1" t="n">
        <v>45646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8443-2020</t>
        </is>
      </c>
      <c r="B288" s="1" t="n">
        <v>43875</v>
      </c>
      <c r="C288" s="1" t="n">
        <v>45646</v>
      </c>
      <c r="D288" t="inlineStr">
        <is>
          <t>KRONOBERGS LÄN</t>
        </is>
      </c>
      <c r="E288" t="inlineStr">
        <is>
          <t>VÄXJÖ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8792-2020</t>
        </is>
      </c>
      <c r="B289" s="1" t="n">
        <v>43878</v>
      </c>
      <c r="C289" s="1" t="n">
        <v>45646</v>
      </c>
      <c r="D289" t="inlineStr">
        <is>
          <t>KRONOBERGS LÄN</t>
        </is>
      </c>
      <c r="E289" t="inlineStr">
        <is>
          <t>VÄXJÖ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9149-2020</t>
        </is>
      </c>
      <c r="B290" s="1" t="n">
        <v>43879</v>
      </c>
      <c r="C290" s="1" t="n">
        <v>45646</v>
      </c>
      <c r="D290" t="inlineStr">
        <is>
          <t>KRONOBERGS LÄN</t>
        </is>
      </c>
      <c r="E290" t="inlineStr">
        <is>
          <t>VÄXJÖ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9303-2020</t>
        </is>
      </c>
      <c r="B291" s="1" t="n">
        <v>43880</v>
      </c>
      <c r="C291" s="1" t="n">
        <v>45646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9350-2020</t>
        </is>
      </c>
      <c r="B292" s="1" t="n">
        <v>43880</v>
      </c>
      <c r="C292" s="1" t="n">
        <v>45646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9614-2020</t>
        </is>
      </c>
      <c r="B293" s="1" t="n">
        <v>43881</v>
      </c>
      <c r="C293" s="1" t="n">
        <v>45646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9620-2020</t>
        </is>
      </c>
      <c r="B294" s="1" t="n">
        <v>43881</v>
      </c>
      <c r="C294" s="1" t="n">
        <v>45646</v>
      </c>
      <c r="D294" t="inlineStr">
        <is>
          <t>KRONOBERGS LÄN</t>
        </is>
      </c>
      <c r="E294" t="inlineStr">
        <is>
          <t>VÄXJÖ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10208-2020</t>
        </is>
      </c>
      <c r="B295" s="1" t="n">
        <v>43885</v>
      </c>
      <c r="C295" s="1" t="n">
        <v>45646</v>
      </c>
      <c r="D295" t="inlineStr">
        <is>
          <t>KRONOBERGS LÄN</t>
        </is>
      </c>
      <c r="E295" t="inlineStr">
        <is>
          <t>VÄXJÖ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10606-2020</t>
        </is>
      </c>
      <c r="B296" s="1" t="n">
        <v>43887</v>
      </c>
      <c r="C296" s="1" t="n">
        <v>45646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11706-2020</t>
        </is>
      </c>
      <c r="B297" s="1" t="n">
        <v>43894</v>
      </c>
      <c r="C297" s="1" t="n">
        <v>45646</v>
      </c>
      <c r="D297" t="inlineStr">
        <is>
          <t>KRONOBERGS LÄN</t>
        </is>
      </c>
      <c r="E297" t="inlineStr">
        <is>
          <t>VÄXJÖ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13412-2020</t>
        </is>
      </c>
      <c r="B298" s="1" t="n">
        <v>43894</v>
      </c>
      <c r="C298" s="1" t="n">
        <v>45646</v>
      </c>
      <c r="D298" t="inlineStr">
        <is>
          <t>KRONOBERGS LÄN</t>
        </is>
      </c>
      <c r="E298" t="inlineStr">
        <is>
          <t>VÄXJÖ</t>
        </is>
      </c>
      <c r="G298" t="n">
        <v>18.9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12809-2020</t>
        </is>
      </c>
      <c r="B299" s="1" t="n">
        <v>43899</v>
      </c>
      <c r="C299" s="1" t="n">
        <v>45646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12806-2020</t>
        </is>
      </c>
      <c r="B300" s="1" t="n">
        <v>43899</v>
      </c>
      <c r="C300" s="1" t="n">
        <v>45646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12808-2020</t>
        </is>
      </c>
      <c r="B301" s="1" t="n">
        <v>43899</v>
      </c>
      <c r="C301" s="1" t="n">
        <v>45646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14192-2020</t>
        </is>
      </c>
      <c r="B302" s="1" t="n">
        <v>43899</v>
      </c>
      <c r="C302" s="1" t="n">
        <v>45646</v>
      </c>
      <c r="D302" t="inlineStr">
        <is>
          <t>KRONOBERGS LÄN</t>
        </is>
      </c>
      <c r="E302" t="inlineStr">
        <is>
          <t>VÄXJÖ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13348-2020</t>
        </is>
      </c>
      <c r="B303" s="1" t="n">
        <v>43902</v>
      </c>
      <c r="C303" s="1" t="n">
        <v>45646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14264-2020</t>
        </is>
      </c>
      <c r="B304" s="1" t="n">
        <v>43907</v>
      </c>
      <c r="C304" s="1" t="n">
        <v>45646</v>
      </c>
      <c r="D304" t="inlineStr">
        <is>
          <t>KRONOBERGS LÄN</t>
        </is>
      </c>
      <c r="E304" t="inlineStr">
        <is>
          <t>VÄXJÖ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15347-2020</t>
        </is>
      </c>
      <c r="B305" s="1" t="n">
        <v>43908</v>
      </c>
      <c r="C305" s="1" t="n">
        <v>45646</v>
      </c>
      <c r="D305" t="inlineStr">
        <is>
          <t>KRONOBERGS LÄN</t>
        </is>
      </c>
      <c r="E305" t="inlineStr">
        <is>
          <t>VÄXJÖ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16602-2020</t>
        </is>
      </c>
      <c r="B306" s="1" t="n">
        <v>43909</v>
      </c>
      <c r="C306" s="1" t="n">
        <v>45646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16622-2020</t>
        </is>
      </c>
      <c r="B307" s="1" t="n">
        <v>43909</v>
      </c>
      <c r="C307" s="1" t="n">
        <v>45646</v>
      </c>
      <c r="D307" t="inlineStr">
        <is>
          <t>KRONOBERGS LÄN</t>
        </is>
      </c>
      <c r="E307" t="inlineStr">
        <is>
          <t>VÄXJÖ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16598-2020</t>
        </is>
      </c>
      <c r="B308" s="1" t="n">
        <v>43909</v>
      </c>
      <c r="C308" s="1" t="n">
        <v>45646</v>
      </c>
      <c r="D308" t="inlineStr">
        <is>
          <t>KRONOBERGS LÄN</t>
        </is>
      </c>
      <c r="E308" t="inlineStr">
        <is>
          <t>VÄXJÖ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16615-2020</t>
        </is>
      </c>
      <c r="B309" s="1" t="n">
        <v>43909</v>
      </c>
      <c r="C309" s="1" t="n">
        <v>45646</v>
      </c>
      <c r="D309" t="inlineStr">
        <is>
          <t>KRONOBERGS LÄN</t>
        </is>
      </c>
      <c r="E309" t="inlineStr">
        <is>
          <t>VÄXJÖ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45646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45646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45646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45646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45646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45646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45646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45646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45646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45646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45646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45646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45646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45646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45646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45646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45646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45646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45646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45646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45646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45646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45646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45646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45646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45646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45646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45646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45646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45646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45646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45646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45646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45646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45646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45646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45646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45646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45646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45646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45646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45646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45646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45646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45646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45646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45646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45646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45646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45646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45646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45646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45646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45646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45646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45646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45646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45646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45646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45646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45646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45646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45646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45646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45646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45646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45646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45646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45646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45646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45646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45646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45646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45646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45646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45646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45646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45646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45646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45646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45646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45646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45646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45646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45646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45646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45646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45646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45646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45646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45646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45646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45646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45646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45646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45646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45646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45646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45646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45646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45646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45646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45646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45646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45646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45646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45646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45646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45646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45646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45646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45646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45646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45646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45646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45646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45646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45646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45646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45646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45646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45646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45646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45646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45646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45646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45646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45646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45646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45646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45646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45646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45646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45646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45646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45646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45646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45646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45646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45646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45646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45646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45646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45646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45646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45646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45646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45646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45646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45646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45646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45646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45646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45646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45646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45646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45646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45646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45646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45646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45646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45646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45646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45646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45646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45646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45646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45646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45646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45646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45646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45646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45646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45646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45646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45646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45646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45646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45646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45646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45646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45646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45646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45646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45646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45646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45646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45646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45646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45646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45646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45646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45646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45646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45646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45646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45646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45646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45646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45646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45646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45646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45646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45646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45646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45646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45646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45646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45646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45646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45646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45646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45646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45646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45646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45646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45646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45646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45646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45646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45646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45646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45646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45646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45646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45646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45646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45646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45646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45646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45646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45646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45646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45646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45646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45646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45646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45646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45646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45646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45646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45646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45646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45646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45646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45646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45646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45646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45646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45646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45646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45646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45646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45646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45646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45646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45646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45646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45646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45646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45646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45646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45646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45646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45646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45646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45646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45646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45646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45646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45646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45646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45646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45646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45646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45646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45646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45646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45646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45646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45646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45646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45646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45646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45646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45646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45646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45646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45646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45646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45646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45646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45646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45646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45646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45646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45646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45646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45646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45646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45646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45646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45646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45646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45646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45646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45646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45646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45646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45646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45646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45646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45646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45646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45646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45646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45646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45646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45646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45646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45646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45646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45646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45646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45646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45646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45646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45646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45646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45646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45646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45646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45646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45646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45646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45646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45646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45646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45646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45646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45646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45646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45646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45646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45646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45646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45646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45646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45646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45646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45646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45646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45646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45646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45646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45646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45646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45646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45646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45646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45646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45646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45646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45646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45646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45646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45646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45646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45646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45646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45646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45646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45646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45646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45646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45646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45646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45646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45646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45646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45646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45646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45646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45646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45646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45646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45646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45646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45646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45646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45646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45646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45646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45646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45646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45646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45646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45646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45646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45646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45646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45646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45646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45646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45646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45646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45646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45646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45646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45646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45646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45646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45646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45646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45646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45646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45646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45646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45646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45646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45646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45646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45646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45646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45646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45646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45646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45646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45646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45646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45646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45646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45646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45646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45646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45646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45646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45646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45646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45646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45646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45646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45646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45646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45646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45646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45646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45646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45646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45646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45646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45646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45646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45646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45646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45646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45646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45646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45646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45646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45646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45646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45646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45646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45646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45646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45646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45646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45646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45646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45646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45646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45646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45646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45646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45646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45646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45646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45646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45646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45646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45646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45646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45646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45646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45646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45646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45646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45646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45646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45646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45646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45646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45646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45646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45646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45646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45646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45646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45646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45646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45646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45646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45646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45646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45646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45646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45646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45646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45646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45646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45646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45646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45646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45646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45646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45646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45646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45646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45646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45646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45646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45646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45646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45646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45646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45646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45646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45646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45646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45646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45646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45646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45646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45646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45646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45646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45646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45646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45646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45646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45646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45646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45646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45646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45646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45646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45646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45646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45646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45646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45646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45646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45646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45646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45646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45646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45646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45646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45646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45646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45646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45646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45646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45646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45646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45646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45646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45646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45646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45646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45646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45646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45646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45646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45646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45646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45646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45646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45646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45646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45646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45646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45646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45646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45646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45646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45646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45646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45646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45646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45646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45646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45646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45646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45646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45646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45646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45646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45646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45646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45646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45646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45646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45646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45646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45646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45646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45646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45646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45646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45646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45646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45646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45646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45646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45646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45646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45646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45646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45646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45646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45646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45646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45646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45646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45646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45646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45646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45646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45646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45646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45646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45646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45646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45646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45646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45646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45646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45646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45646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45646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45646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45646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45646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45646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45646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45646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45646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45646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45646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45646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45646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45646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45646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45646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45646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45646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45646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45646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45646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45646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45646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45646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45646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45646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45646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45646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45646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45646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45646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45646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45646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45646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45646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45646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45646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45646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45646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45646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45646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45646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45646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45646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45646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45646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45646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45646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45646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45646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45646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45646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45646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45646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45646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45646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45646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45646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45646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45646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45646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45646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45646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45646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45646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45646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45646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45646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45646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45646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45646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45646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45646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45646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45646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45646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45646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45646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45646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45646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45646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45646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45646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45646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45646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45646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45646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45646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45646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45646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45646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45646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45646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45646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45646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45646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45646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45646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45646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45646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45646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45646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45646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45646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45646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45646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45646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45646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45646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45646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45646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45646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45646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45646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45646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45646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45646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45646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45646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45646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45646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45646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45646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45646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45646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45646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45646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45646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45646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45646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45646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45646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45646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45646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45646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45646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45646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45646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45646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45646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45646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45646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45646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45646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45646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45646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45646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45646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45646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45646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45646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45646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45646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45646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45646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45646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45646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45646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45646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45646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45646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45646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45646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45646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45646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45646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45646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45646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45646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45646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45646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45646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45646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45646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45646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45646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45646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45646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45646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45646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45646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45646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45646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45646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45646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45646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45646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45646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45646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45646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45646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45646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45646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45646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45646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45646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45646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45646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45646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45646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45646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45646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45646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45646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45646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45646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45646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45646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45646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45646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45646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45646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45646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45646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45646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45646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45646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45646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45646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45646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45646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45646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45646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45646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45646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45646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45646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45646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45646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45646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45646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45646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45646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45646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45646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45646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45646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45646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45646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45646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45646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45646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45646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45646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45646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45646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45646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45646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45646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45646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45646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45646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45646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45646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45646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45646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45646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45646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45646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45646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45646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45646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45646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45646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45646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45646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45646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45646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45646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45646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45646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45646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45646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45646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45646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45646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45646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45646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45646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45646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45646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45646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45646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45646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45646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45646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45646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45646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45646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45646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45646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45646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45646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45646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45646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45646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45646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45646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45646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45646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45646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45646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45646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45646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45646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45646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45646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45646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45646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45646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45646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45646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45646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45646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45646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45646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45646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45646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45646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45646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45646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45646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45646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45646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45646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45646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45646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45646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45646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45646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45646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45646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45646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45646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45646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45646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45646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45646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45646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45646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45646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45646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45646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45646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45646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45646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45646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45646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45646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45646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45646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45646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45646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45646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45646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45646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45646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45646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45646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45646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45646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45646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45646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45646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45646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45646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45646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45646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45646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45646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45646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45646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45646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45646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45646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45646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45646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45646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45646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45646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45646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45646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45646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45646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45646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45646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45646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45646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45646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45646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45646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45646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45646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45646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45646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45646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45646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45646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45646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45646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45646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45646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45646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45646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45646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45646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45646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45646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45646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45646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45646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45646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45646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45646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45646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45646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45646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45646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45646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45646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45646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45646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45646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45646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45646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45646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45646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45646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45646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45646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45646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45646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45646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45646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45646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45646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45646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45646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45646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45646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45646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45646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45646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45646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45646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45646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45646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45646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45646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45646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45646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45646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45646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45646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45646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45646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45646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45646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45646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45646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45646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45646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45646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45646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45646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45646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45646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45646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45646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45646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45646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45646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45646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45646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45646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45646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45646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45646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45646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45646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45646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45646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45646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45646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45646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45646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45646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45646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45646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45646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45646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45646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45646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45646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45646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45646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45646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45646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45646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45646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45646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45646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45646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45646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45646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45646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45646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45646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45646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45646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45646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45646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45646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45646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45646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45646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45646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45646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45646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45646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45646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45646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45646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45646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45646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45646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45646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45646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45646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45646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45646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45646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45646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45646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45646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45646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45646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45646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45646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45646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45646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45646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45646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45646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45646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45646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45646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45646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45646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45646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45646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45646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45646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45646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45646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45646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45646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45646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45646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45646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45646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45646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45646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45646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45646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45646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45646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45646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45646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45646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45646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45646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45646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45646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45646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45646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45646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45646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45646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45646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45646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45646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45646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45646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45646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45646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45646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45646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45646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45646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45646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45646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45646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45646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45646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45646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45646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45646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45646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45646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45646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45646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45646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45646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45646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45646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45646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45646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45646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45646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45646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45646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45646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45646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45646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45646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45646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45646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45646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45646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45646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45646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45646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45646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45646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45646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45646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45646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45646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45646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45646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45646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45646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45646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45646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45646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45646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45646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45646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45646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45646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45646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45646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45646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45646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45646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45646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45646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45646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45646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45646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45646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45646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45646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45646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45646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45646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45646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45646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45646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45646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45646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45646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45646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45646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45646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45646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45646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45646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45646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45646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45646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45646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45646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45646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45646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45646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45646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45646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45646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45646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45646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45646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45646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45646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45646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45646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45646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45646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45646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45646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45646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45646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45646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45646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45646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45646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45646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45646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45646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45646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45646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45646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45646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45646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45646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45646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45646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45646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45646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45646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45646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45646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45646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45646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45646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45646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45646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45646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45646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45646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45646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45646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45646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45646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45646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45646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45646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45646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45646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45646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45646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45646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45646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45646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45646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45646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45646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45646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45646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45646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45646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45646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45646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45646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45646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45646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45646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45646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45646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45646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45646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45646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45646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45646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45646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45646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45646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45646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45646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45646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45646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45646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45646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45646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45646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45646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45646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45646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45646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45646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45646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45646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45646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45646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45646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45646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45646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45646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45646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45646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45646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45646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45646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45646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45646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45646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45646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45646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45646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45646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45646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45646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45646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45646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45646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45646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45646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45646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45646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45646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45646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45646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45646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45646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45646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45646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45646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45646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45646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45646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45646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45646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45646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45646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45646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45646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45646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45646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57817-2024</t>
        </is>
      </c>
      <c r="B1769" s="1" t="n">
        <v>45631</v>
      </c>
      <c r="C1769" s="1" t="n">
        <v>45646</v>
      </c>
      <c r="D1769" t="inlineStr">
        <is>
          <t>KRONOBERGS LÄN</t>
        </is>
      </c>
      <c r="E1769" t="inlineStr">
        <is>
          <t>VÄXJÖ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57826-2024</t>
        </is>
      </c>
      <c r="B1770" s="1" t="n">
        <v>45631</v>
      </c>
      <c r="C1770" s="1" t="n">
        <v>45646</v>
      </c>
      <c r="D1770" t="inlineStr">
        <is>
          <t>KRONOBERGS LÄN</t>
        </is>
      </c>
      <c r="E1770" t="inlineStr">
        <is>
          <t>VÄXJÖ</t>
        </is>
      </c>
      <c r="G1770" t="n">
        <v>10.2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57834-2024</t>
        </is>
      </c>
      <c r="B1771" s="1" t="n">
        <v>45631</v>
      </c>
      <c r="C1771" s="1" t="n">
        <v>45646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45646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45646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45646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45646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45646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59368-2024</t>
        </is>
      </c>
      <c r="B1777" s="1" t="n">
        <v>45638</v>
      </c>
      <c r="C1777" s="1" t="n">
        <v>45646</v>
      </c>
      <c r="D1777" t="inlineStr">
        <is>
          <t>KRONOBERGS LÄN</t>
        </is>
      </c>
      <c r="E1777" t="inlineStr">
        <is>
          <t>VÄXJÖ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59366-2024</t>
        </is>
      </c>
      <c r="B1778" s="1" t="n">
        <v>45638</v>
      </c>
      <c r="C1778" s="1" t="n">
        <v>45646</v>
      </c>
      <c r="D1778" t="inlineStr">
        <is>
          <t>KRONOBERGS LÄN</t>
        </is>
      </c>
      <c r="E1778" t="inlineStr">
        <is>
          <t>VÄXJÖ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59477-2024</t>
        </is>
      </c>
      <c r="B1779" s="1" t="n">
        <v>45638</v>
      </c>
      <c r="C1779" s="1" t="n">
        <v>45646</v>
      </c>
      <c r="D1779" t="inlineStr">
        <is>
          <t>KRONOBERGS LÄN</t>
        </is>
      </c>
      <c r="E1779" t="inlineStr">
        <is>
          <t>VÄXJÖ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45646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60010-2024</t>
        </is>
      </c>
      <c r="B1781" s="1" t="n">
        <v>45642</v>
      </c>
      <c r="C1781" s="1" t="n">
        <v>45646</v>
      </c>
      <c r="D1781" t="inlineStr">
        <is>
          <t>KRONOBERGS LÄN</t>
        </is>
      </c>
      <c r="E1781" t="inlineStr">
        <is>
          <t>VÄXJÖ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59977-2024</t>
        </is>
      </c>
      <c r="B1782" s="1" t="n">
        <v>45642</v>
      </c>
      <c r="C1782" s="1" t="n">
        <v>45646</v>
      </c>
      <c r="D1782" t="inlineStr">
        <is>
          <t>KRONOBERGS LÄN</t>
        </is>
      </c>
      <c r="E1782" t="inlineStr">
        <is>
          <t>VÄXJÖ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59992-2024</t>
        </is>
      </c>
      <c r="B1783" s="1" t="n">
        <v>45642</v>
      </c>
      <c r="C1783" s="1" t="n">
        <v>45646</v>
      </c>
      <c r="D1783" t="inlineStr">
        <is>
          <t>KRONOBERGS LÄN</t>
        </is>
      </c>
      <c r="E1783" t="inlineStr">
        <is>
          <t>VÄXJÖ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60081-2024</t>
        </is>
      </c>
      <c r="B1784" s="1" t="n">
        <v>45642</v>
      </c>
      <c r="C1784" s="1" t="n">
        <v>45646</v>
      </c>
      <c r="D1784" t="inlineStr">
        <is>
          <t>KRONOBERGS LÄN</t>
        </is>
      </c>
      <c r="E1784" t="inlineStr">
        <is>
          <t>VÄXJÖ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60625-2024</t>
        </is>
      </c>
      <c r="B1785" s="1" t="n">
        <v>45644</v>
      </c>
      <c r="C1785" s="1" t="n">
        <v>45646</v>
      </c>
      <c r="D1785" t="inlineStr">
        <is>
          <t>KRONOBERGS LÄN</t>
        </is>
      </c>
      <c r="E1785" t="inlineStr">
        <is>
          <t>VÄXJÖ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60733-2024</t>
        </is>
      </c>
      <c r="B1786" s="1" t="n">
        <v>45644</v>
      </c>
      <c r="C1786" s="1" t="n">
        <v>45646</v>
      </c>
      <c r="D1786" t="inlineStr">
        <is>
          <t>KRONOBERGS LÄN</t>
        </is>
      </c>
      <c r="E1786" t="inlineStr">
        <is>
          <t>VÄXJÖ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60767-2024</t>
        </is>
      </c>
      <c r="B1787" s="1" t="n">
        <v>45644</v>
      </c>
      <c r="C1787" s="1" t="n">
        <v>45646</v>
      </c>
      <c r="D1787" t="inlineStr">
        <is>
          <t>KRONOBERGS LÄN</t>
        </is>
      </c>
      <c r="E1787" t="inlineStr">
        <is>
          <t>VÄXJÖ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60784-2024</t>
        </is>
      </c>
      <c r="B1788" s="1" t="n">
        <v>45644</v>
      </c>
      <c r="C1788" s="1" t="n">
        <v>45646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60874-2024</t>
        </is>
      </c>
      <c r="B1789" s="1" t="n">
        <v>45644</v>
      </c>
      <c r="C1789" s="1" t="n">
        <v>45646</v>
      </c>
      <c r="D1789" t="inlineStr">
        <is>
          <t>KRONOBERGS LÄN</t>
        </is>
      </c>
      <c r="E1789" t="inlineStr">
        <is>
          <t>VÄXJÖ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45646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61193-2024</t>
        </is>
      </c>
      <c r="B1791" s="1" t="n">
        <v>45645</v>
      </c>
      <c r="C1791" s="1" t="n">
        <v>45646</v>
      </c>
      <c r="D1791" t="inlineStr">
        <is>
          <t>KRONOBERGS LÄN</t>
        </is>
      </c>
      <c r="E1791" t="inlineStr">
        <is>
          <t>VÄXJÖ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45646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45646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>
      <c r="A1794" t="inlineStr">
        <is>
          <t>A 61199-2024</t>
        </is>
      </c>
      <c r="B1794" s="1" t="n">
        <v>45645</v>
      </c>
      <c r="C1794" s="1" t="n">
        <v>45646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2024-12-20T15:16:57Z</dcterms:created>
  <dcterms:modified xmlns:dcterms="http://purl.org/dc/terms/" xmlns:xsi="http://www.w3.org/2001/XMLSchema-instance" xsi:type="dcterms:W3CDTF">2024-12-20T15:16:58Z</dcterms:modified>
</cp:coreProperties>
</file>