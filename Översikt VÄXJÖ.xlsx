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45803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45803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45803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45803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45803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45803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45803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45803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45803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45803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45803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45803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45803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45803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45803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45803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45803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45803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45803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45803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45803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45803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45803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45803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45803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45803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16615-2020</t>
        </is>
      </c>
      <c r="B28" s="1" t="n">
        <v>43909</v>
      </c>
      <c r="C28" s="1" t="n">
        <v>45803</v>
      </c>
      <c r="D28" t="inlineStr">
        <is>
          <t>KRONOBERGS LÄN</t>
        </is>
      </c>
      <c r="E28" t="inlineStr">
        <is>
          <t>VÄXJÖ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HYPERLINK("https://klasma.github.io/Logging_0780/artfynd/A 16615-2020 artfynd.xlsx", "A 16615-2020")</f>
        <v/>
      </c>
      <c r="T28">
        <f>HYPERLINK("https://klasma.github.io/Logging_0780/kartor/A 16615-2020 karta.png", "A 16615-2020")</f>
        <v/>
      </c>
      <c r="V28">
        <f>HYPERLINK("https://klasma.github.io/Logging_0780/klagomål/A 16615-2020 FSC-klagomål.docx", "A 16615-2020")</f>
        <v/>
      </c>
      <c r="W28">
        <f>HYPERLINK("https://klasma.github.io/Logging_0780/klagomålsmail/A 16615-2020 FSC-klagomål mail.docx", "A 16615-2020")</f>
        <v/>
      </c>
      <c r="X28">
        <f>HYPERLINK("https://klasma.github.io/Logging_0780/tillsyn/A 16615-2020 tillsynsbegäran.docx", "A 16615-2020")</f>
        <v/>
      </c>
      <c r="Y28">
        <f>HYPERLINK("https://klasma.github.io/Logging_0780/tillsynsmail/A 16615-2020 tillsynsbegäran mail.docx", "A 16615-2020")</f>
        <v/>
      </c>
    </row>
    <row r="29" ht="15" customHeight="1">
      <c r="A29" t="inlineStr">
        <is>
          <t>A 62695-2020</t>
        </is>
      </c>
      <c r="B29" s="1" t="n">
        <v>44161</v>
      </c>
      <c r="C29" s="1" t="n">
        <v>45803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62695-2020 artfynd.xlsx", "A 62695-2020")</f>
        <v/>
      </c>
      <c r="T29">
        <f>HYPERLINK("https://klasma.github.io/Logging_0780/kartor/A 62695-2020 karta.png", "A 62695-2020")</f>
        <v/>
      </c>
      <c r="V29">
        <f>HYPERLINK("https://klasma.github.io/Logging_0780/klagomål/A 62695-2020 FSC-klagomål.docx", "A 62695-2020")</f>
        <v/>
      </c>
      <c r="W29">
        <f>HYPERLINK("https://klasma.github.io/Logging_0780/klagomålsmail/A 62695-2020 FSC-klagomål mail.docx", "A 62695-2020")</f>
        <v/>
      </c>
      <c r="X29">
        <f>HYPERLINK("https://klasma.github.io/Logging_0780/tillsyn/A 62695-2020 tillsynsbegäran.docx", "A 62695-2020")</f>
        <v/>
      </c>
      <c r="Y29">
        <f>HYPERLINK("https://klasma.github.io/Logging_0780/tillsynsmail/A 62695-2020 tillsynsbegäran mail.docx", "A 62695-2020")</f>
        <v/>
      </c>
    </row>
    <row r="30" ht="15" customHeight="1">
      <c r="A30" t="inlineStr">
        <is>
          <t>A 69178-2020</t>
        </is>
      </c>
      <c r="B30" s="1" t="n">
        <v>44189</v>
      </c>
      <c r="C30" s="1" t="n">
        <v>45803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Sävsparv</t>
        </is>
      </c>
      <c r="S30">
        <f>HYPERLINK("https://klasma.github.io/Logging_0780/artfynd/A 69178-2020 artfynd.xlsx", "A 69178-2020")</f>
        <v/>
      </c>
      <c r="T30">
        <f>HYPERLINK("https://klasma.github.io/Logging_0780/kartor/A 69178-2020 karta.png", "A 69178-2020")</f>
        <v/>
      </c>
      <c r="V30">
        <f>HYPERLINK("https://klasma.github.io/Logging_0780/klagomål/A 69178-2020 FSC-klagomål.docx", "A 69178-2020")</f>
        <v/>
      </c>
      <c r="W30">
        <f>HYPERLINK("https://klasma.github.io/Logging_0780/klagomålsmail/A 69178-2020 FSC-klagomål mail.docx", "A 69178-2020")</f>
        <v/>
      </c>
      <c r="X30">
        <f>HYPERLINK("https://klasma.github.io/Logging_0780/tillsyn/A 69178-2020 tillsynsbegäran.docx", "A 69178-2020")</f>
        <v/>
      </c>
      <c r="Y30">
        <f>HYPERLINK("https://klasma.github.io/Logging_0780/tillsynsmail/A 69178-2020 tillsynsbegäran mail.docx", "A 69178-2020")</f>
        <v/>
      </c>
      <c r="Z30">
        <f>HYPERLINK("https://klasma.github.io/Logging_0780/fåglar/A 69178-2020 prioriterade fågelarter.docx", "A 69178-2020")</f>
        <v/>
      </c>
    </row>
    <row r="31" ht="15" customHeight="1">
      <c r="A31" t="inlineStr">
        <is>
          <t>A 4515-2021</t>
        </is>
      </c>
      <c r="B31" s="1" t="n">
        <v>44224</v>
      </c>
      <c r="C31" s="1" t="n">
        <v>45803</v>
      </c>
      <c r="D31" t="inlineStr">
        <is>
          <t>KRONOBERGS LÄN</t>
        </is>
      </c>
      <c r="E31" t="inlineStr">
        <is>
          <t>VÄXJÖ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4515-2021 artfynd.xlsx", "A 4515-2021")</f>
        <v/>
      </c>
      <c r="T31">
        <f>HYPERLINK("https://klasma.github.io/Logging_0780/kartor/A 4515-2021 karta.png", "A 4515-2021")</f>
        <v/>
      </c>
      <c r="V31">
        <f>HYPERLINK("https://klasma.github.io/Logging_0780/klagomål/A 4515-2021 FSC-klagomål.docx", "A 4515-2021")</f>
        <v/>
      </c>
      <c r="W31">
        <f>HYPERLINK("https://klasma.github.io/Logging_0780/klagomålsmail/A 4515-2021 FSC-klagomål mail.docx", "A 4515-2021")</f>
        <v/>
      </c>
      <c r="X31">
        <f>HYPERLINK("https://klasma.github.io/Logging_0780/tillsyn/A 4515-2021 tillsynsbegäran.docx", "A 4515-2021")</f>
        <v/>
      </c>
      <c r="Y31">
        <f>HYPERLINK("https://klasma.github.io/Logging_0780/tillsynsmail/A 4515-2021 tillsynsbegäran mail.docx", "A 4515-2021")</f>
        <v/>
      </c>
    </row>
    <row r="32" ht="15" customHeight="1">
      <c r="A32" t="inlineStr">
        <is>
          <t>A 5364-2021</t>
        </is>
      </c>
      <c r="B32" s="1" t="n">
        <v>44229</v>
      </c>
      <c r="C32" s="1" t="n">
        <v>45803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HYPERLINK("https://klasma.github.io/Logging_0780/artfynd/A 5364-2021 artfynd.xlsx", "A 5364-2021")</f>
        <v/>
      </c>
      <c r="T32">
        <f>HYPERLINK("https://klasma.github.io/Logging_0780/kartor/A 5364-2021 karta.png", "A 5364-2021")</f>
        <v/>
      </c>
      <c r="V32">
        <f>HYPERLINK("https://klasma.github.io/Logging_0780/klagomål/A 5364-2021 FSC-klagomål.docx", "A 5364-2021")</f>
        <v/>
      </c>
      <c r="W32">
        <f>HYPERLINK("https://klasma.github.io/Logging_0780/klagomålsmail/A 5364-2021 FSC-klagomål mail.docx", "A 5364-2021")</f>
        <v/>
      </c>
      <c r="X32">
        <f>HYPERLINK("https://klasma.github.io/Logging_0780/tillsyn/A 5364-2021 tillsynsbegäran.docx", "A 5364-2021")</f>
        <v/>
      </c>
      <c r="Y32">
        <f>HYPERLINK("https://klasma.github.io/Logging_0780/tillsynsmail/A 5364-2021 tillsynsbegäran mail.docx", "A 5364-2021")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45803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21191-2021</t>
        </is>
      </c>
      <c r="B34" s="1" t="n">
        <v>44320</v>
      </c>
      <c r="C34" s="1" t="n">
        <v>45803</v>
      </c>
      <c r="D34" t="inlineStr">
        <is>
          <t>KRONOBERGS LÄN</t>
        </is>
      </c>
      <c r="E34" t="inlineStr">
        <is>
          <t>VÄXJÖ</t>
        </is>
      </c>
      <c r="G34" t="n">
        <v>3.6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21191-2021 artfynd.xlsx", "A 21191-2021")</f>
        <v/>
      </c>
      <c r="T34">
        <f>HYPERLINK("https://klasma.github.io/Logging_0780/kartor/A 21191-2021 karta.png", "A 21191-2021")</f>
        <v/>
      </c>
      <c r="U34">
        <f>HYPERLINK("https://klasma.github.io/Logging_0780/knärot/A 21191-2021 karta knärot.png", "A 21191-2021")</f>
        <v/>
      </c>
      <c r="V34">
        <f>HYPERLINK("https://klasma.github.io/Logging_0780/klagomål/A 21191-2021 FSC-klagomål.docx", "A 21191-2021")</f>
        <v/>
      </c>
      <c r="W34">
        <f>HYPERLINK("https://klasma.github.io/Logging_0780/klagomålsmail/A 21191-2021 FSC-klagomål mail.docx", "A 21191-2021")</f>
        <v/>
      </c>
      <c r="X34">
        <f>HYPERLINK("https://klasma.github.io/Logging_0780/tillsyn/A 21191-2021 tillsynsbegäran.docx", "A 21191-2021")</f>
        <v/>
      </c>
      <c r="Y34">
        <f>HYPERLINK("https://klasma.github.io/Logging_0780/tillsynsmail/A 21191-2021 tillsynsbegäran mail.docx", "A 21191-2021")</f>
        <v/>
      </c>
    </row>
    <row r="35" ht="15" customHeight="1">
      <c r="A35" t="inlineStr">
        <is>
          <t>A 29179-2021</t>
        </is>
      </c>
      <c r="B35" s="1" t="n">
        <v>44358</v>
      </c>
      <c r="C35" s="1" t="n">
        <v>45803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HYPERLINK("https://klasma.github.io/Logging_0780/artfynd/A 29179-2021 artfynd.xlsx", "A 29179-2021")</f>
        <v/>
      </c>
      <c r="T35">
        <f>HYPERLINK("https://klasma.github.io/Logging_0780/kartor/A 29179-2021 karta.png", "A 29179-2021")</f>
        <v/>
      </c>
      <c r="V35">
        <f>HYPERLINK("https://klasma.github.io/Logging_0780/klagomål/A 29179-2021 FSC-klagomål.docx", "A 29179-2021")</f>
        <v/>
      </c>
      <c r="W35">
        <f>HYPERLINK("https://klasma.github.io/Logging_0780/klagomålsmail/A 29179-2021 FSC-klagomål mail.docx", "A 29179-2021")</f>
        <v/>
      </c>
      <c r="X35">
        <f>HYPERLINK("https://klasma.github.io/Logging_0780/tillsyn/A 29179-2021 tillsynsbegäran.docx", "A 29179-2021")</f>
        <v/>
      </c>
      <c r="Y35">
        <f>HYPERLINK("https://klasma.github.io/Logging_0780/tillsynsmail/A 29179-2021 tillsynsbegäran mail.docx", "A 29179-2021")</f>
        <v/>
      </c>
      <c r="Z35">
        <f>HYPERLINK("https://klasma.github.io/Logging_0780/fåglar/A 29179-2021 prioriterade fågelarter.docx", "A 29179-2021")</f>
        <v/>
      </c>
    </row>
    <row r="36" ht="15" customHeight="1">
      <c r="A36" t="inlineStr">
        <is>
          <t>A 35815-2021</t>
        </is>
      </c>
      <c r="B36" s="1" t="n">
        <v>44386</v>
      </c>
      <c r="C36" s="1" t="n">
        <v>45803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HYPERLINK("https://klasma.github.io/Logging_0780/artfynd/A 35815-2021 artfynd.xlsx", "A 35815-2021")</f>
        <v/>
      </c>
      <c r="T36">
        <f>HYPERLINK("https://klasma.github.io/Logging_0780/kartor/A 35815-2021 karta.png", "A 35815-2021")</f>
        <v/>
      </c>
      <c r="V36">
        <f>HYPERLINK("https://klasma.github.io/Logging_0780/klagomål/A 35815-2021 FSC-klagomål.docx", "A 35815-2021")</f>
        <v/>
      </c>
      <c r="W36">
        <f>HYPERLINK("https://klasma.github.io/Logging_0780/klagomålsmail/A 35815-2021 FSC-klagomål mail.docx", "A 35815-2021")</f>
        <v/>
      </c>
      <c r="X36">
        <f>HYPERLINK("https://klasma.github.io/Logging_0780/tillsyn/A 35815-2021 tillsynsbegäran.docx", "A 35815-2021")</f>
        <v/>
      </c>
      <c r="Y36">
        <f>HYPERLINK("https://klasma.github.io/Logging_0780/tillsynsmail/A 35815-2021 tillsynsbegäran mail.docx", "A 35815-2021")</f>
        <v/>
      </c>
    </row>
    <row r="37" ht="15" customHeight="1">
      <c r="A37" t="inlineStr">
        <is>
          <t>A 43912-2021</t>
        </is>
      </c>
      <c r="B37" s="1" t="n">
        <v>44434</v>
      </c>
      <c r="C37" s="1" t="n">
        <v>45803</v>
      </c>
      <c r="D37" t="inlineStr">
        <is>
          <t>KRONOBERGS LÄN</t>
        </is>
      </c>
      <c r="E37" t="inlineStr">
        <is>
          <t>VÄXJÖ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43912-2021 artfynd.xlsx", "A 43912-2021")</f>
        <v/>
      </c>
      <c r="T37">
        <f>HYPERLINK("https://klasma.github.io/Logging_0780/kartor/A 43912-2021 karta.png", "A 43912-2021")</f>
        <v/>
      </c>
      <c r="V37">
        <f>HYPERLINK("https://klasma.github.io/Logging_0780/klagomål/A 43912-2021 FSC-klagomål.docx", "A 43912-2021")</f>
        <v/>
      </c>
      <c r="W37">
        <f>HYPERLINK("https://klasma.github.io/Logging_0780/klagomålsmail/A 43912-2021 FSC-klagomål mail.docx", "A 43912-2021")</f>
        <v/>
      </c>
      <c r="X37">
        <f>HYPERLINK("https://klasma.github.io/Logging_0780/tillsyn/A 43912-2021 tillsynsbegäran.docx", "A 43912-2021")</f>
        <v/>
      </c>
      <c r="Y37">
        <f>HYPERLINK("https://klasma.github.io/Logging_0780/tillsynsmail/A 43912-2021 tillsynsbegäran mail.docx", "A 43912-2021")</f>
        <v/>
      </c>
    </row>
    <row r="38" ht="15" customHeight="1">
      <c r="A38" t="inlineStr">
        <is>
          <t>A 16796-2022</t>
        </is>
      </c>
      <c r="B38" s="1" t="n">
        <v>44673</v>
      </c>
      <c r="C38" s="1" t="n">
        <v>45803</v>
      </c>
      <c r="D38" t="inlineStr">
        <is>
          <t>KRONOBERGS LÄN</t>
        </is>
      </c>
      <c r="E38" t="inlineStr">
        <is>
          <t>VÄXJÖ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HYPERLINK("https://klasma.github.io/Logging_0780/artfynd/A 16796-2022 artfynd.xlsx", "A 16796-2022")</f>
        <v/>
      </c>
      <c r="T38">
        <f>HYPERLINK("https://klasma.github.io/Logging_0780/kartor/A 16796-2022 karta.png", "A 16796-2022")</f>
        <v/>
      </c>
      <c r="V38">
        <f>HYPERLINK("https://klasma.github.io/Logging_0780/klagomål/A 16796-2022 FSC-klagomål.docx", "A 16796-2022")</f>
        <v/>
      </c>
      <c r="W38">
        <f>HYPERLINK("https://klasma.github.io/Logging_0780/klagomålsmail/A 16796-2022 FSC-klagomål mail.docx", "A 16796-2022")</f>
        <v/>
      </c>
      <c r="X38">
        <f>HYPERLINK("https://klasma.github.io/Logging_0780/tillsyn/A 16796-2022 tillsynsbegäran.docx", "A 16796-2022")</f>
        <v/>
      </c>
      <c r="Y38">
        <f>HYPERLINK("https://klasma.github.io/Logging_0780/tillsynsmail/A 16796-2022 tillsynsbegäran mail.docx", "A 16796-2022")</f>
        <v/>
      </c>
    </row>
    <row r="39" ht="15" customHeight="1">
      <c r="A39" t="inlineStr">
        <is>
          <t>A 60820-2022</t>
        </is>
      </c>
      <c r="B39" s="1" t="n">
        <v>44914</v>
      </c>
      <c r="C39" s="1" t="n">
        <v>45803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HYPERLINK("https://klasma.github.io/Logging_0780/artfynd/A 60820-2022 artfynd.xlsx", "A 60820-2022")</f>
        <v/>
      </c>
      <c r="T39">
        <f>HYPERLINK("https://klasma.github.io/Logging_0780/kartor/A 60820-2022 karta.png", "A 60820-2022")</f>
        <v/>
      </c>
      <c r="V39">
        <f>HYPERLINK("https://klasma.github.io/Logging_0780/klagomål/A 60820-2022 FSC-klagomål.docx", "A 60820-2022")</f>
        <v/>
      </c>
      <c r="W39">
        <f>HYPERLINK("https://klasma.github.io/Logging_0780/klagomålsmail/A 60820-2022 FSC-klagomål mail.docx", "A 60820-2022")</f>
        <v/>
      </c>
      <c r="X39">
        <f>HYPERLINK("https://klasma.github.io/Logging_0780/tillsyn/A 60820-2022 tillsynsbegäran.docx", "A 60820-2022")</f>
        <v/>
      </c>
      <c r="Y39">
        <f>HYPERLINK("https://klasma.github.io/Logging_0780/tillsynsmail/A 60820-2022 tillsynsbegäran mail.docx", "A 60820-2022")</f>
        <v/>
      </c>
      <c r="Z39">
        <f>HYPERLINK("https://klasma.github.io/Logging_0780/fåglar/A 60820-2022 prioriterade fågelarter.docx", "A 60820-2022")</f>
        <v/>
      </c>
    </row>
    <row r="40" ht="15" customHeight="1">
      <c r="A40" t="inlineStr">
        <is>
          <t>A 31667-2023</t>
        </is>
      </c>
      <c r="B40" s="1" t="n">
        <v>45098</v>
      </c>
      <c r="C40" s="1" t="n">
        <v>45803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31667-2023 artfynd.xlsx", "A 31667-2023")</f>
        <v/>
      </c>
      <c r="T40">
        <f>HYPERLINK("https://klasma.github.io/Logging_0780/kartor/A 31667-2023 karta.png", "A 31667-2023")</f>
        <v/>
      </c>
      <c r="V40">
        <f>HYPERLINK("https://klasma.github.io/Logging_0780/klagomål/A 31667-2023 FSC-klagomål.docx", "A 31667-2023")</f>
        <v/>
      </c>
      <c r="W40">
        <f>HYPERLINK("https://klasma.github.io/Logging_0780/klagomålsmail/A 31667-2023 FSC-klagomål mail.docx", "A 31667-2023")</f>
        <v/>
      </c>
      <c r="X40">
        <f>HYPERLINK("https://klasma.github.io/Logging_0780/tillsyn/A 31667-2023 tillsynsbegäran.docx", "A 31667-2023")</f>
        <v/>
      </c>
      <c r="Y40">
        <f>HYPERLINK("https://klasma.github.io/Logging_0780/tillsynsmail/A 31667-2023 tillsynsbegäran mail.docx", "A 31667-2023")</f>
        <v/>
      </c>
    </row>
    <row r="41" ht="15" customHeight="1">
      <c r="A41" t="inlineStr">
        <is>
          <t>A 28572-2023</t>
        </is>
      </c>
      <c r="B41" s="1" t="n">
        <v>45103</v>
      </c>
      <c r="C41" s="1" t="n">
        <v>45803</v>
      </c>
      <c r="D41" t="inlineStr">
        <is>
          <t>KRONOBERGS LÄN</t>
        </is>
      </c>
      <c r="E41" t="inlineStr">
        <is>
          <t>VÄXJÖ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HYPERLINK("https://klasma.github.io/Logging_0780/artfynd/A 28572-2023 artfynd.xlsx", "A 28572-2023")</f>
        <v/>
      </c>
      <c r="T41">
        <f>HYPERLINK("https://klasma.github.io/Logging_0780/kartor/A 28572-2023 karta.png", "A 28572-2023")</f>
        <v/>
      </c>
      <c r="V41">
        <f>HYPERLINK("https://klasma.github.io/Logging_0780/klagomål/A 28572-2023 FSC-klagomål.docx", "A 28572-2023")</f>
        <v/>
      </c>
      <c r="W41">
        <f>HYPERLINK("https://klasma.github.io/Logging_0780/klagomålsmail/A 28572-2023 FSC-klagomål mail.docx", "A 28572-2023")</f>
        <v/>
      </c>
      <c r="X41">
        <f>HYPERLINK("https://klasma.github.io/Logging_0780/tillsyn/A 28572-2023 tillsynsbegäran.docx", "A 28572-2023")</f>
        <v/>
      </c>
      <c r="Y41">
        <f>HYPERLINK("https://klasma.github.io/Logging_0780/tillsynsmail/A 28572-2023 tillsynsbegäran mail.docx", "A 28572-2023")</f>
        <v/>
      </c>
    </row>
    <row r="42" ht="15" customHeight="1">
      <c r="A42" t="inlineStr">
        <is>
          <t>A 58051-2023</t>
        </is>
      </c>
      <c r="B42" s="1" t="n">
        <v>45247</v>
      </c>
      <c r="C42" s="1" t="n">
        <v>45803</v>
      </c>
      <c r="D42" t="inlineStr">
        <is>
          <t>KRONOBERGS LÄN</t>
        </is>
      </c>
      <c r="E42" t="inlineStr">
        <is>
          <t>VÄXJÖ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Parkhättemossa</t>
        </is>
      </c>
      <c r="S42">
        <f>HYPERLINK("https://klasma.github.io/Logging_0780/artfynd/A 58051-2023 artfynd.xlsx", "A 58051-2023")</f>
        <v/>
      </c>
      <c r="T42">
        <f>HYPERLINK("https://klasma.github.io/Logging_0780/kartor/A 58051-2023 karta.png", "A 58051-2023")</f>
        <v/>
      </c>
      <c r="V42">
        <f>HYPERLINK("https://klasma.github.io/Logging_0780/klagomål/A 58051-2023 FSC-klagomål.docx", "A 58051-2023")</f>
        <v/>
      </c>
      <c r="W42">
        <f>HYPERLINK("https://klasma.github.io/Logging_0780/klagomålsmail/A 58051-2023 FSC-klagomål mail.docx", "A 58051-2023")</f>
        <v/>
      </c>
      <c r="X42">
        <f>HYPERLINK("https://klasma.github.io/Logging_0780/tillsyn/A 58051-2023 tillsynsbegäran.docx", "A 58051-2023")</f>
        <v/>
      </c>
      <c r="Y42">
        <f>HYPERLINK("https://klasma.github.io/Logging_0780/tillsynsmail/A 58051-2023 tillsynsbegäran mail.docx", "A 58051-2023")</f>
        <v/>
      </c>
    </row>
    <row r="43" ht="15" customHeight="1">
      <c r="A43" t="inlineStr">
        <is>
          <t>A 63249-2023</t>
        </is>
      </c>
      <c r="B43" s="1" t="n">
        <v>45273</v>
      </c>
      <c r="C43" s="1" t="n">
        <v>45803</v>
      </c>
      <c r="D43" t="inlineStr">
        <is>
          <t>KRONOBERGS LÄN</t>
        </is>
      </c>
      <c r="E43" t="inlineStr">
        <is>
          <t>VÄXJÖ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Gropticka</t>
        </is>
      </c>
      <c r="S43">
        <f>HYPERLINK("https://klasma.github.io/Logging_0780/artfynd/A 63249-2023 artfynd.xlsx", "A 63249-2023")</f>
        <v/>
      </c>
      <c r="T43">
        <f>HYPERLINK("https://klasma.github.io/Logging_0780/kartor/A 63249-2023 karta.png", "A 63249-2023")</f>
        <v/>
      </c>
      <c r="V43">
        <f>HYPERLINK("https://klasma.github.io/Logging_0780/klagomål/A 63249-2023 FSC-klagomål.docx", "A 63249-2023")</f>
        <v/>
      </c>
      <c r="W43">
        <f>HYPERLINK("https://klasma.github.io/Logging_0780/klagomålsmail/A 63249-2023 FSC-klagomål mail.docx", "A 63249-2023")</f>
        <v/>
      </c>
      <c r="X43">
        <f>HYPERLINK("https://klasma.github.io/Logging_0780/tillsyn/A 63249-2023 tillsynsbegäran.docx", "A 63249-2023")</f>
        <v/>
      </c>
      <c r="Y43">
        <f>HYPERLINK("https://klasma.github.io/Logging_0780/tillsynsmail/A 63249-2023 tillsynsbegäran mail.docx", "A 63249-2023")</f>
        <v/>
      </c>
    </row>
    <row r="44" ht="15" customHeight="1">
      <c r="A44" t="inlineStr">
        <is>
          <t>A 64150-2023</t>
        </is>
      </c>
      <c r="B44" s="1" t="n">
        <v>45279</v>
      </c>
      <c r="C44" s="1" t="n">
        <v>45803</v>
      </c>
      <c r="D44" t="inlineStr">
        <is>
          <t>KRONOBERGS LÄN</t>
        </is>
      </c>
      <c r="E44" t="inlineStr">
        <is>
          <t>VÄXJÖ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HYPERLINK("https://klasma.github.io/Logging_0780/artfynd/A 64150-2023 artfynd.xlsx", "A 64150-2023")</f>
        <v/>
      </c>
      <c r="T44">
        <f>HYPERLINK("https://klasma.github.io/Logging_0780/kartor/A 64150-2023 karta.png", "A 64150-2023")</f>
        <v/>
      </c>
      <c r="V44">
        <f>HYPERLINK("https://klasma.github.io/Logging_0780/klagomål/A 64150-2023 FSC-klagomål.docx", "A 64150-2023")</f>
        <v/>
      </c>
      <c r="W44">
        <f>HYPERLINK("https://klasma.github.io/Logging_0780/klagomålsmail/A 64150-2023 FSC-klagomål mail.docx", "A 64150-2023")</f>
        <v/>
      </c>
      <c r="X44">
        <f>HYPERLINK("https://klasma.github.io/Logging_0780/tillsyn/A 64150-2023 tillsynsbegäran.docx", "A 64150-2023")</f>
        <v/>
      </c>
      <c r="Y44">
        <f>HYPERLINK("https://klasma.github.io/Logging_0780/tillsynsmail/A 64150-2023 tillsynsbegäran mail.docx", "A 64150-2023")</f>
        <v/>
      </c>
    </row>
    <row r="45" ht="15" customHeight="1">
      <c r="A45" t="inlineStr">
        <is>
          <t>A 64284-2023</t>
        </is>
      </c>
      <c r="B45" s="1" t="n">
        <v>45280</v>
      </c>
      <c r="C45" s="1" t="n">
        <v>45803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HYPERLINK("https://klasma.github.io/Logging_0780/artfynd/A 64284-2023 artfynd.xlsx", "A 64284-2023")</f>
        <v/>
      </c>
      <c r="T45">
        <f>HYPERLINK("https://klasma.github.io/Logging_0780/kartor/A 64284-2023 karta.png", "A 64284-2023")</f>
        <v/>
      </c>
      <c r="V45">
        <f>HYPERLINK("https://klasma.github.io/Logging_0780/klagomål/A 64284-2023 FSC-klagomål.docx", "A 64284-2023")</f>
        <v/>
      </c>
      <c r="W45">
        <f>HYPERLINK("https://klasma.github.io/Logging_0780/klagomålsmail/A 64284-2023 FSC-klagomål mail.docx", "A 64284-2023")</f>
        <v/>
      </c>
      <c r="X45">
        <f>HYPERLINK("https://klasma.github.io/Logging_0780/tillsyn/A 64284-2023 tillsynsbegäran.docx", "A 64284-2023")</f>
        <v/>
      </c>
      <c r="Y45">
        <f>HYPERLINK("https://klasma.github.io/Logging_0780/tillsynsmail/A 64284-2023 tillsynsbegäran mail.docx", "A 64284-2023")</f>
        <v/>
      </c>
    </row>
    <row r="46" ht="15" customHeight="1">
      <c r="A46" t="inlineStr">
        <is>
          <t>A 14022-2024</t>
        </is>
      </c>
      <c r="B46" s="1" t="n">
        <v>45392</v>
      </c>
      <c r="C46" s="1" t="n">
        <v>45803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14022-2024 artfynd.xlsx", "A 14022-2024")</f>
        <v/>
      </c>
      <c r="T46">
        <f>HYPERLINK("https://klasma.github.io/Logging_0780/kartor/A 14022-2024 karta.png", "A 14022-2024")</f>
        <v/>
      </c>
      <c r="V46">
        <f>HYPERLINK("https://klasma.github.io/Logging_0780/klagomål/A 14022-2024 FSC-klagomål.docx", "A 14022-2024")</f>
        <v/>
      </c>
      <c r="W46">
        <f>HYPERLINK("https://klasma.github.io/Logging_0780/klagomålsmail/A 14022-2024 FSC-klagomål mail.docx", "A 14022-2024")</f>
        <v/>
      </c>
      <c r="X46">
        <f>HYPERLINK("https://klasma.github.io/Logging_0780/tillsyn/A 14022-2024 tillsynsbegäran.docx", "A 14022-2024")</f>
        <v/>
      </c>
      <c r="Y46">
        <f>HYPERLINK("https://klasma.github.io/Logging_0780/tillsynsmail/A 14022-2024 tillsynsbegäran mail.docx", "A 14022-2024")</f>
        <v/>
      </c>
    </row>
    <row r="47" ht="15" customHeight="1">
      <c r="A47" t="inlineStr">
        <is>
          <t>A 22576-2024</t>
        </is>
      </c>
      <c r="B47" s="1" t="n">
        <v>45447</v>
      </c>
      <c r="C47" s="1" t="n">
        <v>45803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Loppstarr</t>
        </is>
      </c>
      <c r="S47">
        <f>HYPERLINK("https://klasma.github.io/Logging_0780/artfynd/A 22576-2024 artfynd.xlsx", "A 22576-2024")</f>
        <v/>
      </c>
      <c r="T47">
        <f>HYPERLINK("https://klasma.github.io/Logging_0780/kartor/A 22576-2024 karta.png", "A 22576-2024")</f>
        <v/>
      </c>
      <c r="V47">
        <f>HYPERLINK("https://klasma.github.io/Logging_0780/klagomål/A 22576-2024 FSC-klagomål.docx", "A 22576-2024")</f>
        <v/>
      </c>
      <c r="W47">
        <f>HYPERLINK("https://klasma.github.io/Logging_0780/klagomålsmail/A 22576-2024 FSC-klagomål mail.docx", "A 22576-2024")</f>
        <v/>
      </c>
      <c r="X47">
        <f>HYPERLINK("https://klasma.github.io/Logging_0780/tillsyn/A 22576-2024 tillsynsbegäran.docx", "A 22576-2024")</f>
        <v/>
      </c>
      <c r="Y47">
        <f>HYPERLINK("https://klasma.github.io/Logging_0780/tillsynsmail/A 22576-2024 tillsynsbegäran mail.docx", "A 22576-2024")</f>
        <v/>
      </c>
    </row>
    <row r="48" ht="15" customHeight="1">
      <c r="A48" t="inlineStr">
        <is>
          <t>A 30317-2024</t>
        </is>
      </c>
      <c r="B48" s="1" t="n">
        <v>45490</v>
      </c>
      <c r="C48" s="1" t="n">
        <v>45803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Scharlakansskål</t>
        </is>
      </c>
      <c r="S48">
        <f>HYPERLINK("https://klasma.github.io/Logging_0780/artfynd/A 30317-2024 artfynd.xlsx", "A 30317-2024")</f>
        <v/>
      </c>
      <c r="T48">
        <f>HYPERLINK("https://klasma.github.io/Logging_0780/kartor/A 30317-2024 karta.png", "A 30317-2024")</f>
        <v/>
      </c>
      <c r="V48">
        <f>HYPERLINK("https://klasma.github.io/Logging_0780/klagomål/A 30317-2024 FSC-klagomål.docx", "A 30317-2024")</f>
        <v/>
      </c>
      <c r="W48">
        <f>HYPERLINK("https://klasma.github.io/Logging_0780/klagomålsmail/A 30317-2024 FSC-klagomål mail.docx", "A 30317-2024")</f>
        <v/>
      </c>
      <c r="X48">
        <f>HYPERLINK("https://klasma.github.io/Logging_0780/tillsyn/A 30317-2024 tillsynsbegäran.docx", "A 30317-2024")</f>
        <v/>
      </c>
      <c r="Y48">
        <f>HYPERLINK("https://klasma.github.io/Logging_0780/tillsynsmail/A 30317-2024 tillsynsbegäran mail.docx", "A 30317-2024")</f>
        <v/>
      </c>
    </row>
    <row r="49" ht="15" customHeight="1">
      <c r="A49" t="inlineStr">
        <is>
          <t>A 35901-2024</t>
        </is>
      </c>
      <c r="B49" s="1" t="n">
        <v>45533</v>
      </c>
      <c r="C49" s="1" t="n">
        <v>45803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HYPERLINK("https://klasma.github.io/Logging_0780/artfynd/A 35901-2024 artfynd.xlsx", "A 35901-2024")</f>
        <v/>
      </c>
      <c r="T49">
        <f>HYPERLINK("https://klasma.github.io/Logging_0780/kartor/A 35901-2024 karta.png", "A 35901-2024")</f>
        <v/>
      </c>
      <c r="V49">
        <f>HYPERLINK("https://klasma.github.io/Logging_0780/klagomål/A 35901-2024 FSC-klagomål.docx", "A 35901-2024")</f>
        <v/>
      </c>
      <c r="W49">
        <f>HYPERLINK("https://klasma.github.io/Logging_0780/klagomålsmail/A 35901-2024 FSC-klagomål mail.docx", "A 35901-2024")</f>
        <v/>
      </c>
      <c r="X49">
        <f>HYPERLINK("https://klasma.github.io/Logging_0780/tillsyn/A 35901-2024 tillsynsbegäran.docx", "A 35901-2024")</f>
        <v/>
      </c>
      <c r="Y49">
        <f>HYPERLINK("https://klasma.github.io/Logging_0780/tillsynsmail/A 35901-2024 tillsynsbegäran mail.docx", "A 35901-2024")</f>
        <v/>
      </c>
      <c r="Z49">
        <f>HYPERLINK("https://klasma.github.io/Logging_0780/fåglar/A 35901-2024 prioriterade fågelarter.docx", "A 35901-2024")</f>
        <v/>
      </c>
    </row>
    <row r="50" ht="15" customHeight="1">
      <c r="A50" t="inlineStr">
        <is>
          <t>A 38036-2024</t>
        </is>
      </c>
      <c r="B50" s="1" t="n">
        <v>45544</v>
      </c>
      <c r="C50" s="1" t="n">
        <v>45803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Aktiebolag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HYPERLINK("https://klasma.github.io/Logging_0780/artfynd/A 38036-2024 artfynd.xlsx", "A 38036-2024")</f>
        <v/>
      </c>
      <c r="T50">
        <f>HYPERLINK("https://klasma.github.io/Logging_0780/kartor/A 38036-2024 karta.png", "A 38036-2024")</f>
        <v/>
      </c>
      <c r="V50">
        <f>HYPERLINK("https://klasma.github.io/Logging_0780/klagomål/A 38036-2024 FSC-klagomål.docx", "A 38036-2024")</f>
        <v/>
      </c>
      <c r="W50">
        <f>HYPERLINK("https://klasma.github.io/Logging_0780/klagomålsmail/A 38036-2024 FSC-klagomål mail.docx", "A 38036-2024")</f>
        <v/>
      </c>
      <c r="X50">
        <f>HYPERLINK("https://klasma.github.io/Logging_0780/tillsyn/A 38036-2024 tillsynsbegäran.docx", "A 38036-2024")</f>
        <v/>
      </c>
      <c r="Y50">
        <f>HYPERLINK("https://klasma.github.io/Logging_0780/tillsynsmail/A 38036-2024 tillsynsbegäran mail.docx", "A 38036-2024")</f>
        <v/>
      </c>
    </row>
    <row r="51" ht="15" customHeight="1">
      <c r="A51" t="inlineStr">
        <is>
          <t>A 38339-2024</t>
        </is>
      </c>
      <c r="B51" s="1" t="n">
        <v>45545</v>
      </c>
      <c r="C51" s="1" t="n">
        <v>45803</v>
      </c>
      <c r="D51" t="inlineStr">
        <is>
          <t>KRONOBERGS LÄN</t>
        </is>
      </c>
      <c r="E51" t="inlineStr">
        <is>
          <t>VÄXJÖ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Tallriska</t>
        </is>
      </c>
      <c r="S51">
        <f>HYPERLINK("https://klasma.github.io/Logging_0780/artfynd/A 38339-2024 artfynd.xlsx", "A 38339-2024")</f>
        <v/>
      </c>
      <c r="T51">
        <f>HYPERLINK("https://klasma.github.io/Logging_0780/kartor/A 38339-2024 karta.png", "A 38339-2024")</f>
        <v/>
      </c>
      <c r="V51">
        <f>HYPERLINK("https://klasma.github.io/Logging_0780/klagomål/A 38339-2024 FSC-klagomål.docx", "A 38339-2024")</f>
        <v/>
      </c>
      <c r="W51">
        <f>HYPERLINK("https://klasma.github.io/Logging_0780/klagomålsmail/A 38339-2024 FSC-klagomål mail.docx", "A 38339-2024")</f>
        <v/>
      </c>
      <c r="X51">
        <f>HYPERLINK("https://klasma.github.io/Logging_0780/tillsyn/A 38339-2024 tillsynsbegäran.docx", "A 38339-2024")</f>
        <v/>
      </c>
      <c r="Y51">
        <f>HYPERLINK("https://klasma.github.io/Logging_0780/tillsynsmail/A 38339-2024 tillsynsbegäran mail.docx", "A 38339-2024")</f>
        <v/>
      </c>
    </row>
    <row r="52" ht="15" customHeight="1">
      <c r="A52" t="inlineStr">
        <is>
          <t>A 40266-2024</t>
        </is>
      </c>
      <c r="B52" s="1" t="n">
        <v>45554</v>
      </c>
      <c r="C52" s="1" t="n">
        <v>45803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HYPERLINK("https://klasma.github.io/Logging_0780/artfynd/A 40266-2024 artfynd.xlsx", "A 40266-2024")</f>
        <v/>
      </c>
      <c r="T52">
        <f>HYPERLINK("https://klasma.github.io/Logging_0780/kartor/A 40266-2024 karta.png", "A 40266-2024")</f>
        <v/>
      </c>
      <c r="V52">
        <f>HYPERLINK("https://klasma.github.io/Logging_0780/klagomål/A 40266-2024 FSC-klagomål.docx", "A 40266-2024")</f>
        <v/>
      </c>
      <c r="W52">
        <f>HYPERLINK("https://klasma.github.io/Logging_0780/klagomålsmail/A 40266-2024 FSC-klagomål mail.docx", "A 40266-2024")</f>
        <v/>
      </c>
      <c r="X52">
        <f>HYPERLINK("https://klasma.github.io/Logging_0780/tillsyn/A 40266-2024 tillsynsbegäran.docx", "A 40266-2024")</f>
        <v/>
      </c>
      <c r="Y52">
        <f>HYPERLINK("https://klasma.github.io/Logging_0780/tillsynsmail/A 40266-2024 tillsynsbegäran mail.docx", "A 40266-2024")</f>
        <v/>
      </c>
    </row>
    <row r="53" ht="15" customHeight="1">
      <c r="A53" t="inlineStr">
        <is>
          <t>A 51647-2024</t>
        </is>
      </c>
      <c r="B53" s="1" t="n">
        <v>45606</v>
      </c>
      <c r="C53" s="1" t="n">
        <v>45803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HYPERLINK("https://klasma.github.io/Logging_0780/artfynd/A 51647-2024 artfynd.xlsx", "A 51647-2024")</f>
        <v/>
      </c>
      <c r="T53">
        <f>HYPERLINK("https://klasma.github.io/Logging_0780/kartor/A 51647-2024 karta.png", "A 51647-2024")</f>
        <v/>
      </c>
      <c r="V53">
        <f>HYPERLINK("https://klasma.github.io/Logging_0780/klagomål/A 51647-2024 FSC-klagomål.docx", "A 51647-2024")</f>
        <v/>
      </c>
      <c r="W53">
        <f>HYPERLINK("https://klasma.github.io/Logging_0780/klagomålsmail/A 51647-2024 FSC-klagomål mail.docx", "A 51647-2024")</f>
        <v/>
      </c>
      <c r="X53">
        <f>HYPERLINK("https://klasma.github.io/Logging_0780/tillsyn/A 51647-2024 tillsynsbegäran.docx", "A 51647-2024")</f>
        <v/>
      </c>
      <c r="Y53">
        <f>HYPERLINK("https://klasma.github.io/Logging_0780/tillsynsmail/A 51647-2024 tillsynsbegäran mail.docx", "A 51647-2024")</f>
        <v/>
      </c>
    </row>
    <row r="54" ht="15" customHeight="1">
      <c r="A54" t="inlineStr">
        <is>
          <t>A 52628-2024</t>
        </is>
      </c>
      <c r="B54" s="1" t="n">
        <v>45610</v>
      </c>
      <c r="C54" s="1" t="n">
        <v>45803</v>
      </c>
      <c r="D54" t="inlineStr">
        <is>
          <t>KRONOBERGS LÄN</t>
        </is>
      </c>
      <c r="E54" t="inlineStr">
        <is>
          <t>VÄXJÖ</t>
        </is>
      </c>
      <c r="G54" t="n">
        <v>4.2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HYPERLINK("https://klasma.github.io/Logging_0780/artfynd/A 52628-2024 artfynd.xlsx", "A 52628-2024")</f>
        <v/>
      </c>
      <c r="T54">
        <f>HYPERLINK("https://klasma.github.io/Logging_0780/kartor/A 52628-2024 karta.png", "A 52628-2024")</f>
        <v/>
      </c>
      <c r="V54">
        <f>HYPERLINK("https://klasma.github.io/Logging_0780/klagomål/A 52628-2024 FSC-klagomål.docx", "A 52628-2024")</f>
        <v/>
      </c>
      <c r="W54">
        <f>HYPERLINK("https://klasma.github.io/Logging_0780/klagomålsmail/A 52628-2024 FSC-klagomål mail.docx", "A 52628-2024")</f>
        <v/>
      </c>
      <c r="X54">
        <f>HYPERLINK("https://klasma.github.io/Logging_0780/tillsyn/A 52628-2024 tillsynsbegäran.docx", "A 52628-2024")</f>
        <v/>
      </c>
      <c r="Y54">
        <f>HYPERLINK("https://klasma.github.io/Logging_0780/tillsynsmail/A 52628-2024 tillsynsbegäran mail.docx", "A 52628-2024")</f>
        <v/>
      </c>
      <c r="Z54">
        <f>HYPERLINK("https://klasma.github.io/Logging_0780/fåglar/A 52628-2024 prioriterade fågelarter.docx", "A 52628-2024")</f>
        <v/>
      </c>
    </row>
    <row r="55" ht="15" customHeight="1">
      <c r="A55" t="inlineStr">
        <is>
          <t>A 60064-2024</t>
        </is>
      </c>
      <c r="B55" s="1" t="n">
        <v>45642</v>
      </c>
      <c r="C55" s="1" t="n">
        <v>45803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60064-2024 artfynd.xlsx", "A 60064-2024")</f>
        <v/>
      </c>
      <c r="T55">
        <f>HYPERLINK("https://klasma.github.io/Logging_0780/kartor/A 60064-2024 karta.png", "A 60064-2024")</f>
        <v/>
      </c>
      <c r="V55">
        <f>HYPERLINK("https://klasma.github.io/Logging_0780/klagomål/A 60064-2024 FSC-klagomål.docx", "A 60064-2024")</f>
        <v/>
      </c>
      <c r="W55">
        <f>HYPERLINK("https://klasma.github.io/Logging_0780/klagomålsmail/A 60064-2024 FSC-klagomål mail.docx", "A 60064-2024")</f>
        <v/>
      </c>
      <c r="X55">
        <f>HYPERLINK("https://klasma.github.io/Logging_0780/tillsyn/A 60064-2024 tillsynsbegäran.docx", "A 60064-2024")</f>
        <v/>
      </c>
      <c r="Y55">
        <f>HYPERLINK("https://klasma.github.io/Logging_0780/tillsynsmail/A 60064-2024 tillsynsbegäran mail.docx", "A 60064-2024")</f>
        <v/>
      </c>
    </row>
    <row r="56" ht="15" customHeight="1">
      <c r="A56" t="inlineStr">
        <is>
          <t>A 60370-2024</t>
        </is>
      </c>
      <c r="B56" s="1" t="n">
        <v>45643</v>
      </c>
      <c r="C56" s="1" t="n">
        <v>45803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60370-2024 artfynd.xlsx", "A 60370-2024")</f>
        <v/>
      </c>
      <c r="T56">
        <f>HYPERLINK("https://klasma.github.io/Logging_0780/kartor/A 60370-2024 karta.png", "A 60370-2024")</f>
        <v/>
      </c>
      <c r="V56">
        <f>HYPERLINK("https://klasma.github.io/Logging_0780/klagomål/A 60370-2024 FSC-klagomål.docx", "A 60370-2024")</f>
        <v/>
      </c>
      <c r="W56">
        <f>HYPERLINK("https://klasma.github.io/Logging_0780/klagomålsmail/A 60370-2024 FSC-klagomål mail.docx", "A 60370-2024")</f>
        <v/>
      </c>
      <c r="X56">
        <f>HYPERLINK("https://klasma.github.io/Logging_0780/tillsyn/A 60370-2024 tillsynsbegäran.docx", "A 60370-2024")</f>
        <v/>
      </c>
      <c r="Y56">
        <f>HYPERLINK("https://klasma.github.io/Logging_0780/tillsynsmail/A 60370-2024 tillsynsbegäran mail.docx", "A 60370-2024")</f>
        <v/>
      </c>
    </row>
    <row r="57" ht="15" customHeight="1">
      <c r="A57" t="inlineStr">
        <is>
          <t>A 18079-2025</t>
        </is>
      </c>
      <c r="B57" s="1" t="n">
        <v>45761</v>
      </c>
      <c r="C57" s="1" t="n">
        <v>45803</v>
      </c>
      <c r="D57" t="inlineStr">
        <is>
          <t>KRONOBERGS LÄN</t>
        </is>
      </c>
      <c r="E57" t="inlineStr">
        <is>
          <t>VÄXJÖ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HYPERLINK("https://klasma.github.io/Logging_070780/artfynd/A 18079-2025 artfynd.xlsx", "A 18079-2025")</f>
        <v/>
      </c>
      <c r="T57">
        <f>HYPERLINK("https://klasma.github.io/Logging_070780/kartor/A 18079-2025 karta.png", "A 18079-2025")</f>
        <v/>
      </c>
      <c r="V57">
        <f>HYPERLINK("https://klasma.github.io/Logging_070780/klagomål/A 18079-2025 FSC-klagomål.docx", "A 18079-2025")</f>
        <v/>
      </c>
      <c r="W57">
        <f>HYPERLINK("https://klasma.github.io/Logging_070780/klagomålsmail/A 18079-2025 FSC-klagomål mail.docx", "A 18079-2025")</f>
        <v/>
      </c>
      <c r="X57">
        <f>HYPERLINK("https://klasma.github.io/Logging_070780/tillsyn/A 18079-2025 tillsynsbegäran.docx", "A 18079-2025")</f>
        <v/>
      </c>
      <c r="Y57">
        <f>HYPERLINK("https://klasma.github.io/Logging_070780/tillsynsmail/A 18079-2025 tillsynsbegäran mail.docx", "A 18079-2025")</f>
        <v/>
      </c>
    </row>
    <row r="58" ht="15" customHeight="1">
      <c r="A58" t="inlineStr">
        <is>
          <t>A 21107-2025</t>
        </is>
      </c>
      <c r="B58" s="1" t="n">
        <v>45777</v>
      </c>
      <c r="C58" s="1" t="n">
        <v>45803</v>
      </c>
      <c r="D58" t="inlineStr">
        <is>
          <t>KRONOBERGS LÄN</t>
        </is>
      </c>
      <c r="E58" t="inlineStr">
        <is>
          <t>VÄXJÖ</t>
        </is>
      </c>
      <c r="G58" t="n">
        <v>5.6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Fjällvråk</t>
        </is>
      </c>
      <c r="S58">
        <f>HYPERLINK("https://klasma.github.io/Logging_070780/artfynd/A 21107-2025 artfynd.xlsx", "A 21107-2025")</f>
        <v/>
      </c>
      <c r="T58">
        <f>HYPERLINK("https://klasma.github.io/Logging_070780/kartor/A 21107-2025 karta.png", "A 21107-2025")</f>
        <v/>
      </c>
      <c r="V58">
        <f>HYPERLINK("https://klasma.github.io/Logging_070780/klagomål/A 21107-2025 FSC-klagomål.docx", "A 21107-2025")</f>
        <v/>
      </c>
      <c r="W58">
        <f>HYPERLINK("https://klasma.github.io/Logging_070780/klagomålsmail/A 21107-2025 FSC-klagomål mail.docx", "A 21107-2025")</f>
        <v/>
      </c>
      <c r="X58">
        <f>HYPERLINK("https://klasma.github.io/Logging_070780/tillsyn/A 21107-2025 tillsynsbegäran.docx", "A 21107-2025")</f>
        <v/>
      </c>
      <c r="Y58">
        <f>HYPERLINK("https://klasma.github.io/Logging_070780/tillsynsmail/A 21107-2025 tillsynsbegäran mail.docx", "A 21107-2025")</f>
        <v/>
      </c>
      <c r="Z58">
        <f>HYPERLINK("https://klasma.github.io/Logging_070780/fåglar/A 21107-2025 prioriterade fågelarter.docx", "A 21107-2025")</f>
        <v/>
      </c>
    </row>
    <row r="59" ht="15" customHeight="1">
      <c r="A59" t="inlineStr">
        <is>
          <t>A 21527-2025</t>
        </is>
      </c>
      <c r="B59" s="1" t="n">
        <v>45782</v>
      </c>
      <c r="C59" s="1" t="n">
        <v>45803</v>
      </c>
      <c r="D59" t="inlineStr">
        <is>
          <t>KRONOBERGS LÄN</t>
        </is>
      </c>
      <c r="E59" t="inlineStr">
        <is>
          <t>VÄXJÖ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HYPERLINK("https://klasma.github.io/Logging_070780/artfynd/A 21527-2025 artfynd.xlsx", "A 21527-2025")</f>
        <v/>
      </c>
      <c r="T59">
        <f>HYPERLINK("https://klasma.github.io/Logging_070780/kartor/A 21527-2025 karta.png", "A 21527-2025")</f>
        <v/>
      </c>
      <c r="V59">
        <f>HYPERLINK("https://klasma.github.io/Logging_070780/klagomål/A 21527-2025 FSC-klagomål.docx", "A 21527-2025")</f>
        <v/>
      </c>
      <c r="W59">
        <f>HYPERLINK("https://klasma.github.io/Logging_070780/klagomålsmail/A 21527-2025 FSC-klagomål mail.docx", "A 21527-2025")</f>
        <v/>
      </c>
      <c r="X59">
        <f>HYPERLINK("https://klasma.github.io/Logging_070780/tillsyn/A 21527-2025 tillsynsbegäran.docx", "A 21527-2025")</f>
        <v/>
      </c>
      <c r="Y59">
        <f>HYPERLINK("https://klasma.github.io/Logging_070780/tillsynsmail/A 21527-2025 tillsynsbegäran mail.docx", "A 21527-2025")</f>
        <v/>
      </c>
    </row>
    <row r="60" ht="15" customHeight="1">
      <c r="A60" t="inlineStr">
        <is>
          <t>A 17746-2019</t>
        </is>
      </c>
      <c r="B60" s="1" t="n">
        <v>43556</v>
      </c>
      <c r="C60" s="1" t="n">
        <v>45803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18007-2019</t>
        </is>
      </c>
      <c r="B61" s="1" t="n">
        <v>43557</v>
      </c>
      <c r="C61" s="1" t="n">
        <v>45803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18263-2019</t>
        </is>
      </c>
      <c r="B62" s="1" t="n">
        <v>43558</v>
      </c>
      <c r="C62" s="1" t="n">
        <v>45803</v>
      </c>
      <c r="D62" t="inlineStr">
        <is>
          <t>KRONOBERGS LÄN</t>
        </is>
      </c>
      <c r="E62" t="inlineStr">
        <is>
          <t>VÄXJÖ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19509-2019</t>
        </is>
      </c>
      <c r="B63" s="1" t="n">
        <v>43565</v>
      </c>
      <c r="C63" s="1" t="n">
        <v>45803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19506-2019</t>
        </is>
      </c>
      <c r="B64" s="1" t="n">
        <v>43565</v>
      </c>
      <c r="C64" s="1" t="n">
        <v>45803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19687-2019</t>
        </is>
      </c>
      <c r="B65" s="1" t="n">
        <v>43566</v>
      </c>
      <c r="C65" s="1" t="n">
        <v>45803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20598-2019</t>
        </is>
      </c>
      <c r="B66" s="1" t="n">
        <v>43572</v>
      </c>
      <c r="C66" s="1" t="n">
        <v>45803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20944-2019</t>
        </is>
      </c>
      <c r="B67" s="1" t="n">
        <v>43578</v>
      </c>
      <c r="C67" s="1" t="n">
        <v>45803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20938-2019</t>
        </is>
      </c>
      <c r="B68" s="1" t="n">
        <v>43578</v>
      </c>
      <c r="C68" s="1" t="n">
        <v>45803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20988-2019</t>
        </is>
      </c>
      <c r="B69" s="1" t="n">
        <v>43578</v>
      </c>
      <c r="C69" s="1" t="n">
        <v>45803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21076-2019</t>
        </is>
      </c>
      <c r="B70" s="1" t="n">
        <v>43578</v>
      </c>
      <c r="C70" s="1" t="n">
        <v>45803</v>
      </c>
      <c r="D70" t="inlineStr">
        <is>
          <t>KRONOBERGS LÄN</t>
        </is>
      </c>
      <c r="E70" t="inlineStr">
        <is>
          <t>VÄXJÖ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21712-2019</t>
        </is>
      </c>
      <c r="B71" s="1" t="n">
        <v>43581</v>
      </c>
      <c r="C71" s="1" t="n">
        <v>45803</v>
      </c>
      <c r="D71" t="inlineStr">
        <is>
          <t>KRONOBERGS LÄN</t>
        </is>
      </c>
      <c r="E71" t="inlineStr">
        <is>
          <t>VÄXJÖ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21665-2019</t>
        </is>
      </c>
      <c r="B72" s="1" t="n">
        <v>43581</v>
      </c>
      <c r="C72" s="1" t="n">
        <v>45803</v>
      </c>
      <c r="D72" t="inlineStr">
        <is>
          <t>KRONOBERGS LÄN</t>
        </is>
      </c>
      <c r="E72" t="inlineStr">
        <is>
          <t>VÄXJÖ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22084-2019</t>
        </is>
      </c>
      <c r="B73" s="1" t="n">
        <v>43584</v>
      </c>
      <c r="C73" s="1" t="n">
        <v>45803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22163-2019</t>
        </is>
      </c>
      <c r="B74" s="1" t="n">
        <v>43585</v>
      </c>
      <c r="C74" s="1" t="n">
        <v>45803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22395-2019</t>
        </is>
      </c>
      <c r="B75" s="1" t="n">
        <v>43585</v>
      </c>
      <c r="C75" s="1" t="n">
        <v>45803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22381-2019</t>
        </is>
      </c>
      <c r="B76" s="1" t="n">
        <v>43585</v>
      </c>
      <c r="C76" s="1" t="n">
        <v>45803</v>
      </c>
      <c r="D76" t="inlineStr">
        <is>
          <t>KRONOBERGS LÄN</t>
        </is>
      </c>
      <c r="E76" t="inlineStr">
        <is>
          <t>VÄXJÖ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22397-2019</t>
        </is>
      </c>
      <c r="B77" s="1" t="n">
        <v>43585</v>
      </c>
      <c r="C77" s="1" t="n">
        <v>45803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22346-2019</t>
        </is>
      </c>
      <c r="B78" s="1" t="n">
        <v>43587</v>
      </c>
      <c r="C78" s="1" t="n">
        <v>45803</v>
      </c>
      <c r="D78" t="inlineStr">
        <is>
          <t>KRONOBERGS LÄN</t>
        </is>
      </c>
      <c r="E78" t="inlineStr">
        <is>
          <t>VÄXJÖ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22349-2019</t>
        </is>
      </c>
      <c r="B79" s="1" t="n">
        <v>43587</v>
      </c>
      <c r="C79" s="1" t="n">
        <v>45803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22948-2019</t>
        </is>
      </c>
      <c r="B80" s="1" t="n">
        <v>43591</v>
      </c>
      <c r="C80" s="1" t="n">
        <v>45803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23252-2019</t>
        </is>
      </c>
      <c r="B81" s="1" t="n">
        <v>43592</v>
      </c>
      <c r="C81" s="1" t="n">
        <v>45803</v>
      </c>
      <c r="D81" t="inlineStr">
        <is>
          <t>KRONOBERGS LÄN</t>
        </is>
      </c>
      <c r="E81" t="inlineStr">
        <is>
          <t>VÄXJÖ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23375-2019</t>
        </is>
      </c>
      <c r="B82" s="1" t="n">
        <v>43593</v>
      </c>
      <c r="C82" s="1" t="n">
        <v>45803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23525-2019</t>
        </is>
      </c>
      <c r="B83" s="1" t="n">
        <v>43594</v>
      </c>
      <c r="C83" s="1" t="n">
        <v>45803</v>
      </c>
      <c r="D83" t="inlineStr">
        <is>
          <t>KRONOBERGS LÄN</t>
        </is>
      </c>
      <c r="E83" t="inlineStr">
        <is>
          <t>VÄXJÖ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23776-2019</t>
        </is>
      </c>
      <c r="B84" s="1" t="n">
        <v>43595</v>
      </c>
      <c r="C84" s="1" t="n">
        <v>45803</v>
      </c>
      <c r="D84" t="inlineStr">
        <is>
          <t>KRONOBERGS LÄN</t>
        </is>
      </c>
      <c r="E84" t="inlineStr">
        <is>
          <t>VÄXJÖ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23882-2019</t>
        </is>
      </c>
      <c r="B85" s="1" t="n">
        <v>43595</v>
      </c>
      <c r="C85" s="1" t="n">
        <v>45803</v>
      </c>
      <c r="D85" t="inlineStr">
        <is>
          <t>KRONOBERGS LÄN</t>
        </is>
      </c>
      <c r="E85" t="inlineStr">
        <is>
          <t>VÄXJÖ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23983-2019</t>
        </is>
      </c>
      <c r="B86" s="1" t="n">
        <v>43598</v>
      </c>
      <c r="C86" s="1" t="n">
        <v>45803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24055-2019</t>
        </is>
      </c>
      <c r="B87" s="1" t="n">
        <v>43598</v>
      </c>
      <c r="C87" s="1" t="n">
        <v>45803</v>
      </c>
      <c r="D87" t="inlineStr">
        <is>
          <t>KRONOBERGS LÄN</t>
        </is>
      </c>
      <c r="E87" t="inlineStr">
        <is>
          <t>VÄXJÖ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24748-2019</t>
        </is>
      </c>
      <c r="B88" s="1" t="n">
        <v>43601</v>
      </c>
      <c r="C88" s="1" t="n">
        <v>45803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25843-2019</t>
        </is>
      </c>
      <c r="B89" s="1" t="n">
        <v>43605</v>
      </c>
      <c r="C89" s="1" t="n">
        <v>45803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26478-2019</t>
        </is>
      </c>
      <c r="B90" s="1" t="n">
        <v>43607</v>
      </c>
      <c r="C90" s="1" t="n">
        <v>45803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26466-2019</t>
        </is>
      </c>
      <c r="B91" s="1" t="n">
        <v>43607</v>
      </c>
      <c r="C91" s="1" t="n">
        <v>45803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26494-2019</t>
        </is>
      </c>
      <c r="B92" s="1" t="n">
        <v>43607</v>
      </c>
      <c r="C92" s="1" t="n">
        <v>45803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25735-2019</t>
        </is>
      </c>
      <c r="B93" s="1" t="n">
        <v>43608</v>
      </c>
      <c r="C93" s="1" t="n">
        <v>45803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27614-2019</t>
        </is>
      </c>
      <c r="B94" s="1" t="n">
        <v>43619</v>
      </c>
      <c r="C94" s="1" t="n">
        <v>45803</v>
      </c>
      <c r="D94" t="inlineStr">
        <is>
          <t>KRONOBERGS LÄN</t>
        </is>
      </c>
      <c r="E94" t="inlineStr">
        <is>
          <t>VÄXJÖ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27704-2019</t>
        </is>
      </c>
      <c r="B95" s="1" t="n">
        <v>43619</v>
      </c>
      <c r="C95" s="1" t="n">
        <v>45803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27568-2019</t>
        </is>
      </c>
      <c r="B96" s="1" t="n">
        <v>43619</v>
      </c>
      <c r="C96" s="1" t="n">
        <v>45803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27919-2019</t>
        </is>
      </c>
      <c r="B97" s="1" t="n">
        <v>43620</v>
      </c>
      <c r="C97" s="1" t="n">
        <v>45803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27913-2019</t>
        </is>
      </c>
      <c r="B98" s="1" t="n">
        <v>43620</v>
      </c>
      <c r="C98" s="1" t="n">
        <v>45803</v>
      </c>
      <c r="D98" t="inlineStr">
        <is>
          <t>KRONOBERGS LÄN</t>
        </is>
      </c>
      <c r="E98" t="inlineStr">
        <is>
          <t>VÄXJÖ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27936-2019</t>
        </is>
      </c>
      <c r="B99" s="1" t="n">
        <v>43620</v>
      </c>
      <c r="C99" s="1" t="n">
        <v>45803</v>
      </c>
      <c r="D99" t="inlineStr">
        <is>
          <t>KRONOBERGS LÄN</t>
        </is>
      </c>
      <c r="E99" t="inlineStr">
        <is>
          <t>VÄXJÖ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27940-2019</t>
        </is>
      </c>
      <c r="B100" s="1" t="n">
        <v>43620</v>
      </c>
      <c r="C100" s="1" t="n">
        <v>45803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28556-2019</t>
        </is>
      </c>
      <c r="B101" s="1" t="n">
        <v>43626</v>
      </c>
      <c r="C101" s="1" t="n">
        <v>45803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28728-2019</t>
        </is>
      </c>
      <c r="B102" s="1" t="n">
        <v>43627</v>
      </c>
      <c r="C102" s="1" t="n">
        <v>45803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29353-2019</t>
        </is>
      </c>
      <c r="B103" s="1" t="n">
        <v>43629</v>
      </c>
      <c r="C103" s="1" t="n">
        <v>45803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30642-2019</t>
        </is>
      </c>
      <c r="B104" s="1" t="n">
        <v>43636</v>
      </c>
      <c r="C104" s="1" t="n">
        <v>45803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31003-2019</t>
        </is>
      </c>
      <c r="B105" s="1" t="n">
        <v>43640</v>
      </c>
      <c r="C105" s="1" t="n">
        <v>45803</v>
      </c>
      <c r="D105" t="inlineStr">
        <is>
          <t>KRONOBERGS LÄN</t>
        </is>
      </c>
      <c r="E105" t="inlineStr">
        <is>
          <t>VÄXJÖ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31484-2019</t>
        </is>
      </c>
      <c r="B106" s="1" t="n">
        <v>43641</v>
      </c>
      <c r="C106" s="1" t="n">
        <v>45803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31339-2019</t>
        </is>
      </c>
      <c r="B107" s="1" t="n">
        <v>43641</v>
      </c>
      <c r="C107" s="1" t="n">
        <v>45803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31550-2019</t>
        </is>
      </c>
      <c r="B108" s="1" t="n">
        <v>43641</v>
      </c>
      <c r="C108" s="1" t="n">
        <v>45803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31505-2019</t>
        </is>
      </c>
      <c r="B109" s="1" t="n">
        <v>43641</v>
      </c>
      <c r="C109" s="1" t="n">
        <v>45803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31797-2019</t>
        </is>
      </c>
      <c r="B110" s="1" t="n">
        <v>43642</v>
      </c>
      <c r="C110" s="1" t="n">
        <v>45803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31799-2019</t>
        </is>
      </c>
      <c r="B111" s="1" t="n">
        <v>43642</v>
      </c>
      <c r="C111" s="1" t="n">
        <v>45803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31946-2019</t>
        </is>
      </c>
      <c r="B112" s="1" t="n">
        <v>43643</v>
      </c>
      <c r="C112" s="1" t="n">
        <v>45803</v>
      </c>
      <c r="D112" t="inlineStr">
        <is>
          <t>KRONOBERGS LÄN</t>
        </is>
      </c>
      <c r="E112" t="inlineStr">
        <is>
          <t>VÄXJÖ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31999-2019</t>
        </is>
      </c>
      <c r="B113" s="1" t="n">
        <v>43643</v>
      </c>
      <c r="C113" s="1" t="n">
        <v>45803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31928-2019</t>
        </is>
      </c>
      <c r="B114" s="1" t="n">
        <v>43643</v>
      </c>
      <c r="C114" s="1" t="n">
        <v>45803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31943-2019</t>
        </is>
      </c>
      <c r="B115" s="1" t="n">
        <v>43643</v>
      </c>
      <c r="C115" s="1" t="n">
        <v>45803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32063-2019</t>
        </is>
      </c>
      <c r="B116" s="1" t="n">
        <v>43643</v>
      </c>
      <c r="C116" s="1" t="n">
        <v>45803</v>
      </c>
      <c r="D116" t="inlineStr">
        <is>
          <t>KRONOBERGS LÄN</t>
        </is>
      </c>
      <c r="E116" t="inlineStr">
        <is>
          <t>VÄXJÖ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32518-2019</t>
        </is>
      </c>
      <c r="B117" s="1" t="n">
        <v>43646</v>
      </c>
      <c r="C117" s="1" t="n">
        <v>45803</v>
      </c>
      <c r="D117" t="inlineStr">
        <is>
          <t>KRONOBERGS LÄN</t>
        </is>
      </c>
      <c r="E117" t="inlineStr">
        <is>
          <t>VÄXJÖ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32598-2019</t>
        </is>
      </c>
      <c r="B118" s="1" t="n">
        <v>43647</v>
      </c>
      <c r="C118" s="1" t="n">
        <v>45803</v>
      </c>
      <c r="D118" t="inlineStr">
        <is>
          <t>KRONOBERGS LÄN</t>
        </is>
      </c>
      <c r="E118" t="inlineStr">
        <is>
          <t>VÄXJÖ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32605-2019</t>
        </is>
      </c>
      <c r="B119" s="1" t="n">
        <v>43647</v>
      </c>
      <c r="C119" s="1" t="n">
        <v>45803</v>
      </c>
      <c r="D119" t="inlineStr">
        <is>
          <t>KRONOBERGS LÄN</t>
        </is>
      </c>
      <c r="E119" t="inlineStr">
        <is>
          <t>VÄXJÖ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33152-2019</t>
        </is>
      </c>
      <c r="B120" s="1" t="n">
        <v>43649</v>
      </c>
      <c r="C120" s="1" t="n">
        <v>45803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33139-2019</t>
        </is>
      </c>
      <c r="B121" s="1" t="n">
        <v>43649</v>
      </c>
      <c r="C121" s="1" t="n">
        <v>45803</v>
      </c>
      <c r="D121" t="inlineStr">
        <is>
          <t>KRONOBERGS LÄN</t>
        </is>
      </c>
      <c r="E121" t="inlineStr">
        <is>
          <t>VÄXJÖ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33022-2019</t>
        </is>
      </c>
      <c r="B122" s="1" t="n">
        <v>43649</v>
      </c>
      <c r="C122" s="1" t="n">
        <v>45803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33286-2019</t>
        </is>
      </c>
      <c r="B123" s="1" t="n">
        <v>43650</v>
      </c>
      <c r="C123" s="1" t="n">
        <v>45803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33487-2019</t>
        </is>
      </c>
      <c r="B124" s="1" t="n">
        <v>43651</v>
      </c>
      <c r="C124" s="1" t="n">
        <v>45803</v>
      </c>
      <c r="D124" t="inlineStr">
        <is>
          <t>KRONOBERGS LÄN</t>
        </is>
      </c>
      <c r="E124" t="inlineStr">
        <is>
          <t>VÄXJÖ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33896-2019</t>
        </is>
      </c>
      <c r="B125" s="1" t="n">
        <v>43653</v>
      </c>
      <c r="C125" s="1" t="n">
        <v>45803</v>
      </c>
      <c r="D125" t="inlineStr">
        <is>
          <t>KRONOBERGS LÄN</t>
        </is>
      </c>
      <c r="E125" t="inlineStr">
        <is>
          <t>VÄXJÖ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33897-2019</t>
        </is>
      </c>
      <c r="B126" s="1" t="n">
        <v>43653</v>
      </c>
      <c r="C126" s="1" t="n">
        <v>45803</v>
      </c>
      <c r="D126" t="inlineStr">
        <is>
          <t>KRONOBERGS LÄN</t>
        </is>
      </c>
      <c r="E126" t="inlineStr">
        <is>
          <t>VÄXJÖ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33970-2019</t>
        </is>
      </c>
      <c r="B127" s="1" t="n">
        <v>43654</v>
      </c>
      <c r="C127" s="1" t="n">
        <v>45803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34200-2019</t>
        </is>
      </c>
      <c r="B128" s="1" t="n">
        <v>43655</v>
      </c>
      <c r="C128" s="1" t="n">
        <v>45803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35640-2019</t>
        </is>
      </c>
      <c r="B129" s="1" t="n">
        <v>43655</v>
      </c>
      <c r="C129" s="1" t="n">
        <v>45803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35305-2019</t>
        </is>
      </c>
      <c r="B130" s="1" t="n">
        <v>43662</v>
      </c>
      <c r="C130" s="1" t="n">
        <v>45803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35476-2019</t>
        </is>
      </c>
      <c r="B131" s="1" t="n">
        <v>43663</v>
      </c>
      <c r="C131" s="1" t="n">
        <v>45803</v>
      </c>
      <c r="D131" t="inlineStr">
        <is>
          <t>KRONOBERGS LÄN</t>
        </is>
      </c>
      <c r="E131" t="inlineStr">
        <is>
          <t>VÄXJÖ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35473-2019</t>
        </is>
      </c>
      <c r="B132" s="1" t="n">
        <v>43663</v>
      </c>
      <c r="C132" s="1" t="n">
        <v>45803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36264-2019</t>
        </is>
      </c>
      <c r="B133" s="1" t="n">
        <v>43669</v>
      </c>
      <c r="C133" s="1" t="n">
        <v>45803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36294-2019</t>
        </is>
      </c>
      <c r="B134" s="1" t="n">
        <v>43669</v>
      </c>
      <c r="C134" s="1" t="n">
        <v>45803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36406-2019</t>
        </is>
      </c>
      <c r="B135" s="1" t="n">
        <v>43670</v>
      </c>
      <c r="C135" s="1" t="n">
        <v>45803</v>
      </c>
      <c r="D135" t="inlineStr">
        <is>
          <t>KRONOBERGS LÄN</t>
        </is>
      </c>
      <c r="E135" t="inlineStr">
        <is>
          <t>VÄXJÖ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36396-2019</t>
        </is>
      </c>
      <c r="B136" s="1" t="n">
        <v>43670</v>
      </c>
      <c r="C136" s="1" t="n">
        <v>45803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36431-2019</t>
        </is>
      </c>
      <c r="B137" s="1" t="n">
        <v>43670</v>
      </c>
      <c r="C137" s="1" t="n">
        <v>45803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36801-2019</t>
        </is>
      </c>
      <c r="B138" s="1" t="n">
        <v>43672</v>
      </c>
      <c r="C138" s="1" t="n">
        <v>45803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36846-2019</t>
        </is>
      </c>
      <c r="B139" s="1" t="n">
        <v>43675</v>
      </c>
      <c r="C139" s="1" t="n">
        <v>45803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36979-2019</t>
        </is>
      </c>
      <c r="B140" s="1" t="n">
        <v>43676</v>
      </c>
      <c r="C140" s="1" t="n">
        <v>45803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37619-2019</t>
        </is>
      </c>
      <c r="B141" s="1" t="n">
        <v>43681</v>
      </c>
      <c r="C141" s="1" t="n">
        <v>45803</v>
      </c>
      <c r="D141" t="inlineStr">
        <is>
          <t>KRONOBERGS LÄN</t>
        </is>
      </c>
      <c r="E141" t="inlineStr">
        <is>
          <t>VÄXJÖ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37667-2019</t>
        </is>
      </c>
      <c r="B142" s="1" t="n">
        <v>43682</v>
      </c>
      <c r="C142" s="1" t="n">
        <v>45803</v>
      </c>
      <c r="D142" t="inlineStr">
        <is>
          <t>KRONOBERGS LÄN</t>
        </is>
      </c>
      <c r="E142" t="inlineStr">
        <is>
          <t>VÄXJÖ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38193-2019</t>
        </is>
      </c>
      <c r="B143" s="1" t="n">
        <v>43684</v>
      </c>
      <c r="C143" s="1" t="n">
        <v>45803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38717-2019</t>
        </is>
      </c>
      <c r="B144" s="1" t="n">
        <v>43686</v>
      </c>
      <c r="C144" s="1" t="n">
        <v>45803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38745-2019</t>
        </is>
      </c>
      <c r="B145" s="1" t="n">
        <v>43686</v>
      </c>
      <c r="C145" s="1" t="n">
        <v>45803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38792-2019</t>
        </is>
      </c>
      <c r="B146" s="1" t="n">
        <v>43688</v>
      </c>
      <c r="C146" s="1" t="n">
        <v>45803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38802-2019</t>
        </is>
      </c>
      <c r="B147" s="1" t="n">
        <v>43688</v>
      </c>
      <c r="C147" s="1" t="n">
        <v>45803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40064-2019</t>
        </is>
      </c>
      <c r="B148" s="1" t="n">
        <v>43693</v>
      </c>
      <c r="C148" s="1" t="n">
        <v>45803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40008-2019</t>
        </is>
      </c>
      <c r="B149" s="1" t="n">
        <v>43693</v>
      </c>
      <c r="C149" s="1" t="n">
        <v>45803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40340-2019</t>
        </is>
      </c>
      <c r="B150" s="1" t="n">
        <v>43696</v>
      </c>
      <c r="C150" s="1" t="n">
        <v>45803</v>
      </c>
      <c r="D150" t="inlineStr">
        <is>
          <t>KRONOBERGS LÄN</t>
        </is>
      </c>
      <c r="E150" t="inlineStr">
        <is>
          <t>VÄXJÖ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41072-2019</t>
        </is>
      </c>
      <c r="B151" s="1" t="n">
        <v>43698</v>
      </c>
      <c r="C151" s="1" t="n">
        <v>45803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42090-2019</t>
        </is>
      </c>
      <c r="B152" s="1" t="n">
        <v>43701</v>
      </c>
      <c r="C152" s="1" t="n">
        <v>45803</v>
      </c>
      <c r="D152" t="inlineStr">
        <is>
          <t>KRONOBERGS LÄN</t>
        </is>
      </c>
      <c r="E152" t="inlineStr">
        <is>
          <t>VÄXJÖ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42387-2019</t>
        </is>
      </c>
      <c r="B153" s="1" t="n">
        <v>43703</v>
      </c>
      <c r="C153" s="1" t="n">
        <v>45803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42391-2019</t>
        </is>
      </c>
      <c r="B154" s="1" t="n">
        <v>43703</v>
      </c>
      <c r="C154" s="1" t="n">
        <v>45803</v>
      </c>
      <c r="D154" t="inlineStr">
        <is>
          <t>KRONOBERGS LÄN</t>
        </is>
      </c>
      <c r="E154" t="inlineStr">
        <is>
          <t>VÄXJÖ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42960-2019</t>
        </is>
      </c>
      <c r="B155" s="1" t="n">
        <v>43705</v>
      </c>
      <c r="C155" s="1" t="n">
        <v>45803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44390-2019</t>
        </is>
      </c>
      <c r="B156" s="1" t="n">
        <v>43705</v>
      </c>
      <c r="C156" s="1" t="n">
        <v>45803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42944-2019</t>
        </is>
      </c>
      <c r="B157" s="1" t="n">
        <v>43705</v>
      </c>
      <c r="C157" s="1" t="n">
        <v>45803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43244-2019</t>
        </is>
      </c>
      <c r="B158" s="1" t="n">
        <v>43706</v>
      </c>
      <c r="C158" s="1" t="n">
        <v>45803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43457-2019</t>
        </is>
      </c>
      <c r="B159" s="1" t="n">
        <v>43706</v>
      </c>
      <c r="C159" s="1" t="n">
        <v>45803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43456-2019</t>
        </is>
      </c>
      <c r="B160" s="1" t="n">
        <v>43706</v>
      </c>
      <c r="C160" s="1" t="n">
        <v>45803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43454-2019</t>
        </is>
      </c>
      <c r="B161" s="1" t="n">
        <v>43706</v>
      </c>
      <c r="C161" s="1" t="n">
        <v>45803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45803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45803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45803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45803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45803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45803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45803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45803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45803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45803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45803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45803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45803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45803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45803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45803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45803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45803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45803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45803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45803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45803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45803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45803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45803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45803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45803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45803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45803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45803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45803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45803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45803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45803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45803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45803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45803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45803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45803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45803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45803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45803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45803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45803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45803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45803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45803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45803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45803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45803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45803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45803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45803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45803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45803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45803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45803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45803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45803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45803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45803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45803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45803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45803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45803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45803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45803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45803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45803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45803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45803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45803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45803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45803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45803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45803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45803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45803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45803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45803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45803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45803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45803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45803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45803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45803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45803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45803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45803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45803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45803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45803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45803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45803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45803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45803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45803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45803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45803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45803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45803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45803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45803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45803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45803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45803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45803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45803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45803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45803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45803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45803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45803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45803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45803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45803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45803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45803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45803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45803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45803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45803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45803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45803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45803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45803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45803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45803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45803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45803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45803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45803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45803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45803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45803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45803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45803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45803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45803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45803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45803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45803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45803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45803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45803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45803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45803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45803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45803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45803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45803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45803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45803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45803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45803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45803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45803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45803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45803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45803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45803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45803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45803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45803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45803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45803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45803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45803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45803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45803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45803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45803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45803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45803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45803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45803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45803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45803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45803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45803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45803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45803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45803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45803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45803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45803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45803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45803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45803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45803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45803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45803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45803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45803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45803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45803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45803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45803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45803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45803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45803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45803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45803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45803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45803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45803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45803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45803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45803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45803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45803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45803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45803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45803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45803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45803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45803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45803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45803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45803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45803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45803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45803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45803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45803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45803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45803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45803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45803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45803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45803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45803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45803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45803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45803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45803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45803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45803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45803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45803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45803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45803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45803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45803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45803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45803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45803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45803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45803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45803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45803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45803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45803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45803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45803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45803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45803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45803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45803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45803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45803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45803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45803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45803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45803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45803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45803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45803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45803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45803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45803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45803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45803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45803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45803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45803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45803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45803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45803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45803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45803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45803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45803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45803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45803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45803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45803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45803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45803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45803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45803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45803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45803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45803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45803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45803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45803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45803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45803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45803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45803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45803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45803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45803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45803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45803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45803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45803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45803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45803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45803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45803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45803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45803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45803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45803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45803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45803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45803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45803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45803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45803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45803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45803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45803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45803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45803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45803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45803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45803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45803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45803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45803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45803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45803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45803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45803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45803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45803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45803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45803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45803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45803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45803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45803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45803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45803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45803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45803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45803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45803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45803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45803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45803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45803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45803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45803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45803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45803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45803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45803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45803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45803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45803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45803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45803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45803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45803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45803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45803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45803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45803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45803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45803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45803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45803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45803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45803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45803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45803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45803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45803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45803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45803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45803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45803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45803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45803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45803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45803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45803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45803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45803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45803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45803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45803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45803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45803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45803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45803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45803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45803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45803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45803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45803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45803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45803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45803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45803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45803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45803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45803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45803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45803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45803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45803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45803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45803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45803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45803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45803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45803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45803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45803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45803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45803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45803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45803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45803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45803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45803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45803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45803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45803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45803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45803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45803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45803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45803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45803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45803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45803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45803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45803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45803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45803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45803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45803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45803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45803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45803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45803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45803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45803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45803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45803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45803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45803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45803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45803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45803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45803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45803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45803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45803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45803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45803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45803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45803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45803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45803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45803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45803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45803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45803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45803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45803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45803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45803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45803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45803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45803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45803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45803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45803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45803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45803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45803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45803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45803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45803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45803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45803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45803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45803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45803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45803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45803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45803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45803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45803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45803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45803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45803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45803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45803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45803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45803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45803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45803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45803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45803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45803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45803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45803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45803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45803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45803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45803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45803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45803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45803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45803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45803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45803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45803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45803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45803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45803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45803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45803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45803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45803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45803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45803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45803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45803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45803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45803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45803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45803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45803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45803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45803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45803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45803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45803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45803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45803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45803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45803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45803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45803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45803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45803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45803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45803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45803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45803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45803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45803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45803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45803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45803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45803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45803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45803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45803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45803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45803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45803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45803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45803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45803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45803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45803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45803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45803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45803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45803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45803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45803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45803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45803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45803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45803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45803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45803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45803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45803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45803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45803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45803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45803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45803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45803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45803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45803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45803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45803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45803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45803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45803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45803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45803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45803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45803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45803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45803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45803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45803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45803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45803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45803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45803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45803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45803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45803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45803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45803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45803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45803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45803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45803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45803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45803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45803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45803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45803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45803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45803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45803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45803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45803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45803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45803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45803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45803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45803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45803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45803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45803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45803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45803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45803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45803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45803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45803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45803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45803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45803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45803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45803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45803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45803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45803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45803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45803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45803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45803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45803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45803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45803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45803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45803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45803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45803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45803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45803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45803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45803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45803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45803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45803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45803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45803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45803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45803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45803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45803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45803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45803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45803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45803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45803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45803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45803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45803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45803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45803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45803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45803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45803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45803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45803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45803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45803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45803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45803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45803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45803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45803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45803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45803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45803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45803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45803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45803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45803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45803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45803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45803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45803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45803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45803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45803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45803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45803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45803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45803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45803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45803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45803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45803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45803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45803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45803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45803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45803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45803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45803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45803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45803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45803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45803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45803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45803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45803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45803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45803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45803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45803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45803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45803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45803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45803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45803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45803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45803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45803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45803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45803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45803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45803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45803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45803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45803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45803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45803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45803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45803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45803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45803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45803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45803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45803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45803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45803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45803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45803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45803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45803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45803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45803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45803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45803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45803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45803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45803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45803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45803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45803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45803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45803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45803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45803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45803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45803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45803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45803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45803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45803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45803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45803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45803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45803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45803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45803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45803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45803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45803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45803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45803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45803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45803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45803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45803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45803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45803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45803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45803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45803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45803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45803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45803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45803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45803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45803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45803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45803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45803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45803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45803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45803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45803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45803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45803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45803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45803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45803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45803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45803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45803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45803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45803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45803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45803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45803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45803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45803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45803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45803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45803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45803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45803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45803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45803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45803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45803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45803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45803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45803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45803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45803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45803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45803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45803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45803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45803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45803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45803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45803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45803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45803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45803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45803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45803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45803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45803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45803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45803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45803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45803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45803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45803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45803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45803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45803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45803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45803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45803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45803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45803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45803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45803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45803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45803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45803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45803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45803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45803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45803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45803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45803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45803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45803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45803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45803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45803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45803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45803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45803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45803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45803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45803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45803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45803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45803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45803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45803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45803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45803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45803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45803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45803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45803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45803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45803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45803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45803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45803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45803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45803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45803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45803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45803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45803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45803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45803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45803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45803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45803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45803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45803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45803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45803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45803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45803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45803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45803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45803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45803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45803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45803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45803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45803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45803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45803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45803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45803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45803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45803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45803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45803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45803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45803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45803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45803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45803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45803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45803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45803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45803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45803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45803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45803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45803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45803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45803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45803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45803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45803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45803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45803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45803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45803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45803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45803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45803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45803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45803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45803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45803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45803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45803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45803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45803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45803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45803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45803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45803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45803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45803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45803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45803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45803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45803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45803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45803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45803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45803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45803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45803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45803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45803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45803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45803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45803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45803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45803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45803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45803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45803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45803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45803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45803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45803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45803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45803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45803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45803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45803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45803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45803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45803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45803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45803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45803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45803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45803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45803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45803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45803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45803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45803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45803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45803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45803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45803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45803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45803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45803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45803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45803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45803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45803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45803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45803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45803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45803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45803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45803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45803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45803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45803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45803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45803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45803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45803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45803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45803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45803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45803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45803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45803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45803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45803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45803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45803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45803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45803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45803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45803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45803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45803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45803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45803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45803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45803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45803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45803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45803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45803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45803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45803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45803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45803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45803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45803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45803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45803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45803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45803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45803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45803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45803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45803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45803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45803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45803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45803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45803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45803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45803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45803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45803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45803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45803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45803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45803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45803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45803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45803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45803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45803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45803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45803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45803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45803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45803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45803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45803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45803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45803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45803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45803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45803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45803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45803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45803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45803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45803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45803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45803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45803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45803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45803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45803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45803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45803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45803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45803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45803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45803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45803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45803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45803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45803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45803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45803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45803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45803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45803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45803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45803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45803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45803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45803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45803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45803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45803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45803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45803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45803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45803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45803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45803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45803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45803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45803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45803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45803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45803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45803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45803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45803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45803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45803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45803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45803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45803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45803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45803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45803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45803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45803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45803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45803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45803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45803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45803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45803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45803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45803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45803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45803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45803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45803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45803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45803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45803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45803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45803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45803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45803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45803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45803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45803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45803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45803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45803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45803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45803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45803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45803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45803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45803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45803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45803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45803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45803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45803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45803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45803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45803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45803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45803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45803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45803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45803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45803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45803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45803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45803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45803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45803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45803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45803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45803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45803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45803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45803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45803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45803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45803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45803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45803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45803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45803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45803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45803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45803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45803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45803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45803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45803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45803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45803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45803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45803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45803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45803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45803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45803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45803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45803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45803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45803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45803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45803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45803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45803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45803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45803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45803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45803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45803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45803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45803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45803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45803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45803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45803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45803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45803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45803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45803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45803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45803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45803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45803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45803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45803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45803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45803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45803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45803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45803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45803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45803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45803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45803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45803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45803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45803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45803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45803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45803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45803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45803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45803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45803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45803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45803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45803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45803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45803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45803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45803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45803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45803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45803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45803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45803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45803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45803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45803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45803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45803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45803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45803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45803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45803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45803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45803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45803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45803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45803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45803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45803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45803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45803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45803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45803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45803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45803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45803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45803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45803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45803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45803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45803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45803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45803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45803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45803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45803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45803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45803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45803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45803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45803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45803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45803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45803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45803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45803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45803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45803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45803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45803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45803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45803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45803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45803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45803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45803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45803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45803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45803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45803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45803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45803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45803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45803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45803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45803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45803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45803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45803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45803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45803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45803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45803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45803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45803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45803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45803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45803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45803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45803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45803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45803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45803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45803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45803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45803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45803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45803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45803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45803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45803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45803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45803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45803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45803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45803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45803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45803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45803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45803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45803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45803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45803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45803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45803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45803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45803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45803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45803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45803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45803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45803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45803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45803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45803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45803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45803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45803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45803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45803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45803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45803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45803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45803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45803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45803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45803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45803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45803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45803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45803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45803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45803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45803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45803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45803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45803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45803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45803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45803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45803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45803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45803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45803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45803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45803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45803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45803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45803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45803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45803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45803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45803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45803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45803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45803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45803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45803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45803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45803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45803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45803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45803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45803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45803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45803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45803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45803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45803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45803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45803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45803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45803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45803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45803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45803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45803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45803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45803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45803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45803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45803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45803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45803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45803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45803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45803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45803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45803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45803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45803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45803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45803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45803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45803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45803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45803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45803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45803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45803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45803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45803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45803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45803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45803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45803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45803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45803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45803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45803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45803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45803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45803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45803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45803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45803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45803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45803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45803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45803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45803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45803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45803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45803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45803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45803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45803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45803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45803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45803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45803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45803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45803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45803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45803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45803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45803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45803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45803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45803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45803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45803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45803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45803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45803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45803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45803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45803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45803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45803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45803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45803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45803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45803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45803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45803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45803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45803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45803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45803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45803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45803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45803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45803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45803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45803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45803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45803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45803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45803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45803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45803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45803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45803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45803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45803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45803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45803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45803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45803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45803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45803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45803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45803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45803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45803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45803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45803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45803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45803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45803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45803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45803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45803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45803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45803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45803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45803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45803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45803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45803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45803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45803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45803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45803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45803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45803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45803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45803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45803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45803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45803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45803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45803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45803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45803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45803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45803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45803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45803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45803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45803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45803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45803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45803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45803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45803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45803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45803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45803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45803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45803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45803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45803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45803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45803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45803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45803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45803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45803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45803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45803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45803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45803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45803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45803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45803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45803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45803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45803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45803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45803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45803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45803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45803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45803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45803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45803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45803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45803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45803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45803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45803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45803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45803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45803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45803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45803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45803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45803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45803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45803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45803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45803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45803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45803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45803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45803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45803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45803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45803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45803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45803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45803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45803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45803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45803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45803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45803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45803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45803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45803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45803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45803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45803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45803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45803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45803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45803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45803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45803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45803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45803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45803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45803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45803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45803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45803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45803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45803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45803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45803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45803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45803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45803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45803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45803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45803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45803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45803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45803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45803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45803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45803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45803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45803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45803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45803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45803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45803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45803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45803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45803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45803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45803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45803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45803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45803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45803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45803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45803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45803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45803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45803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45803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45803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45803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45803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45803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45803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45803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45803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45803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45803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45803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45803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45803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45803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45803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45803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45803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45803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45803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45803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45803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45803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45803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45803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45803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45803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45803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45803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45803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45803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45803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45803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45803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45803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19256-2025</t>
        </is>
      </c>
      <c r="B1961" s="1" t="n">
        <v>45769</v>
      </c>
      <c r="C1961" s="1" t="n">
        <v>45803</v>
      </c>
      <c r="D1961" t="inlineStr">
        <is>
          <t>KRONOBERGS LÄN</t>
        </is>
      </c>
      <c r="E1961" t="inlineStr">
        <is>
          <t>VÄXJÖ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19325-2025</t>
        </is>
      </c>
      <c r="B1962" s="1" t="n">
        <v>45769</v>
      </c>
      <c r="C1962" s="1" t="n">
        <v>45803</v>
      </c>
      <c r="D1962" t="inlineStr">
        <is>
          <t>KRONOBERGS LÄN</t>
        </is>
      </c>
      <c r="E1962" t="inlineStr">
        <is>
          <t>VÄXJÖ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19247-2025</t>
        </is>
      </c>
      <c r="B1963" s="1" t="n">
        <v>45769</v>
      </c>
      <c r="C1963" s="1" t="n">
        <v>45803</v>
      </c>
      <c r="D1963" t="inlineStr">
        <is>
          <t>KRONOBERGS LÄN</t>
        </is>
      </c>
      <c r="E1963" t="inlineStr">
        <is>
          <t>VÄXJÖ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19152-2025</t>
        </is>
      </c>
      <c r="B1964" s="1" t="n">
        <v>45769</v>
      </c>
      <c r="C1964" s="1" t="n">
        <v>45803</v>
      </c>
      <c r="D1964" t="inlineStr">
        <is>
          <t>KRONOBERGS LÄN</t>
        </is>
      </c>
      <c r="E1964" t="inlineStr">
        <is>
          <t>VÄXJÖ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19349-2025</t>
        </is>
      </c>
      <c r="B1965" s="1" t="n">
        <v>45769</v>
      </c>
      <c r="C1965" s="1" t="n">
        <v>45803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19913-2025</t>
        </is>
      </c>
      <c r="B1966" s="1" t="n">
        <v>45771</v>
      </c>
      <c r="C1966" s="1" t="n">
        <v>45803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19904-2025</t>
        </is>
      </c>
      <c r="B1967" s="1" t="n">
        <v>45771</v>
      </c>
      <c r="C1967" s="1" t="n">
        <v>45803</v>
      </c>
      <c r="D1967" t="inlineStr">
        <is>
          <t>KRONOBERGS LÄN</t>
        </is>
      </c>
      <c r="E1967" t="inlineStr">
        <is>
          <t>VÄXJÖ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20411-2025</t>
        </is>
      </c>
      <c r="B1968" s="1" t="n">
        <v>45775</v>
      </c>
      <c r="C1968" s="1" t="n">
        <v>45803</v>
      </c>
      <c r="D1968" t="inlineStr">
        <is>
          <t>KRONOBERGS LÄN</t>
        </is>
      </c>
      <c r="E1968" t="inlineStr">
        <is>
          <t>VÄXJÖ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20382-2025</t>
        </is>
      </c>
      <c r="B1969" s="1" t="n">
        <v>45775</v>
      </c>
      <c r="C1969" s="1" t="n">
        <v>45803</v>
      </c>
      <c r="D1969" t="inlineStr">
        <is>
          <t>KRONOBERGS LÄN</t>
        </is>
      </c>
      <c r="E1969" t="inlineStr">
        <is>
          <t>VÄXJÖ</t>
        </is>
      </c>
      <c r="G1969" t="n">
        <v>6.4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45803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45803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45803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45803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21297-2025</t>
        </is>
      </c>
      <c r="B1974" s="1" t="n">
        <v>45780</v>
      </c>
      <c r="C1974" s="1" t="n">
        <v>45803</v>
      </c>
      <c r="D1974" t="inlineStr">
        <is>
          <t>KRONOBERGS LÄN</t>
        </is>
      </c>
      <c r="E1974" t="inlineStr">
        <is>
          <t>VÄXJÖ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21301-2025</t>
        </is>
      </c>
      <c r="B1975" s="1" t="n">
        <v>45780</v>
      </c>
      <c r="C1975" s="1" t="n">
        <v>45803</v>
      </c>
      <c r="D1975" t="inlineStr">
        <is>
          <t>KRONOBERGS LÄN</t>
        </is>
      </c>
      <c r="E1975" t="inlineStr">
        <is>
          <t>VÄXJÖ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21298-2025</t>
        </is>
      </c>
      <c r="B1976" s="1" t="n">
        <v>45780</v>
      </c>
      <c r="C1976" s="1" t="n">
        <v>45803</v>
      </c>
      <c r="D1976" t="inlineStr">
        <is>
          <t>KRONOBERGS LÄN</t>
        </is>
      </c>
      <c r="E1976" t="inlineStr">
        <is>
          <t>VÄXJÖ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21299-2025</t>
        </is>
      </c>
      <c r="B1977" s="1" t="n">
        <v>45780</v>
      </c>
      <c r="C1977" s="1" t="n">
        <v>45803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45803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21303-2025</t>
        </is>
      </c>
      <c r="B1979" s="1" t="n">
        <v>45780</v>
      </c>
      <c r="C1979" s="1" t="n">
        <v>45803</v>
      </c>
      <c r="D1979" t="inlineStr">
        <is>
          <t>KRONOBERGS LÄN</t>
        </is>
      </c>
      <c r="E1979" t="inlineStr">
        <is>
          <t>VÄXJÖ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21515-2025</t>
        </is>
      </c>
      <c r="B1980" s="1" t="n">
        <v>45782</v>
      </c>
      <c r="C1980" s="1" t="n">
        <v>45803</v>
      </c>
      <c r="D1980" t="inlineStr">
        <is>
          <t>KRONOBERGS LÄN</t>
        </is>
      </c>
      <c r="E1980" t="inlineStr">
        <is>
          <t>VÄXJÖ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21528-2025</t>
        </is>
      </c>
      <c r="B1981" s="1" t="n">
        <v>45782</v>
      </c>
      <c r="C1981" s="1" t="n">
        <v>45803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21526-2025</t>
        </is>
      </c>
      <c r="B1982" s="1" t="n">
        <v>45782</v>
      </c>
      <c r="C1982" s="1" t="n">
        <v>45803</v>
      </c>
      <c r="D1982" t="inlineStr">
        <is>
          <t>KRONOBERGS LÄN</t>
        </is>
      </c>
      <c r="E1982" t="inlineStr">
        <is>
          <t>VÄXJÖ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45803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21695-2025</t>
        </is>
      </c>
      <c r="B1984" s="1" t="n">
        <v>45783</v>
      </c>
      <c r="C1984" s="1" t="n">
        <v>45803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21668-2025</t>
        </is>
      </c>
      <c r="B1985" s="1" t="n">
        <v>45783</v>
      </c>
      <c r="C1985" s="1" t="n">
        <v>45803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21688-2025</t>
        </is>
      </c>
      <c r="B1986" s="1" t="n">
        <v>45783</v>
      </c>
      <c r="C1986" s="1" t="n">
        <v>45803</v>
      </c>
      <c r="D1986" t="inlineStr">
        <is>
          <t>KRONOBERGS LÄN</t>
        </is>
      </c>
      <c r="E1986" t="inlineStr">
        <is>
          <t>VÄXJÖ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21702-2025</t>
        </is>
      </c>
      <c r="B1987" s="1" t="n">
        <v>45783</v>
      </c>
      <c r="C1987" s="1" t="n">
        <v>45803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45803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45803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22534-2025</t>
        </is>
      </c>
      <c r="B1990" s="1" t="n">
        <v>45787</v>
      </c>
      <c r="C1990" s="1" t="n">
        <v>45803</v>
      </c>
      <c r="D1990" t="inlineStr">
        <is>
          <t>KRONOBERGS LÄN</t>
        </is>
      </c>
      <c r="E1990" t="inlineStr">
        <is>
          <t>VÄXJÖ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22533-2025</t>
        </is>
      </c>
      <c r="B1991" s="1" t="n">
        <v>45787</v>
      </c>
      <c r="C1991" s="1" t="n">
        <v>45803</v>
      </c>
      <c r="D1991" t="inlineStr">
        <is>
          <t>KRONOBERGS LÄN</t>
        </is>
      </c>
      <c r="E1991" t="inlineStr">
        <is>
          <t>VÄXJÖ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22535-2025</t>
        </is>
      </c>
      <c r="B1992" s="1" t="n">
        <v>45787</v>
      </c>
      <c r="C1992" s="1" t="n">
        <v>45803</v>
      </c>
      <c r="D1992" t="inlineStr">
        <is>
          <t>KRONOBERGS LÄN</t>
        </is>
      </c>
      <c r="E1992" t="inlineStr">
        <is>
          <t>VÄXJÖ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22766-2025</t>
        </is>
      </c>
      <c r="B1993" s="1" t="n">
        <v>45789</v>
      </c>
      <c r="C1993" s="1" t="n">
        <v>45803</v>
      </c>
      <c r="D1993" t="inlineStr">
        <is>
          <t>KRONOBERGS LÄN</t>
        </is>
      </c>
      <c r="E1993" t="inlineStr">
        <is>
          <t>VÄXJÖ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22665-2025</t>
        </is>
      </c>
      <c r="B1994" s="1" t="n">
        <v>45789</v>
      </c>
      <c r="C1994" s="1" t="n">
        <v>45803</v>
      </c>
      <c r="D1994" t="inlineStr">
        <is>
          <t>KRONOBERGS LÄN</t>
        </is>
      </c>
      <c r="E1994" t="inlineStr">
        <is>
          <t>VÄXJÖ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22754-2025</t>
        </is>
      </c>
      <c r="B1995" s="1" t="n">
        <v>45789</v>
      </c>
      <c r="C1995" s="1" t="n">
        <v>45803</v>
      </c>
      <c r="D1995" t="inlineStr">
        <is>
          <t>KRONOBERGS LÄN</t>
        </is>
      </c>
      <c r="E1995" t="inlineStr">
        <is>
          <t>VÄXJÖ</t>
        </is>
      </c>
      <c r="G1995" t="n">
        <v>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22684-2025</t>
        </is>
      </c>
      <c r="B1996" s="1" t="n">
        <v>45789</v>
      </c>
      <c r="C1996" s="1" t="n">
        <v>45803</v>
      </c>
      <c r="D1996" t="inlineStr">
        <is>
          <t>KRONOBERGS LÄN</t>
        </is>
      </c>
      <c r="E1996" t="inlineStr">
        <is>
          <t>VÄXJÖ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45803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23228-2025</t>
        </is>
      </c>
      <c r="B1998" s="1" t="n">
        <v>45791</v>
      </c>
      <c r="C1998" s="1" t="n">
        <v>45803</v>
      </c>
      <c r="D1998" t="inlineStr">
        <is>
          <t>KRONOBERGS LÄN</t>
        </is>
      </c>
      <c r="E1998" t="inlineStr">
        <is>
          <t>VÄXJÖ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23203-2025</t>
        </is>
      </c>
      <c r="B1999" s="1" t="n">
        <v>45791</v>
      </c>
      <c r="C1999" s="1" t="n">
        <v>45803</v>
      </c>
      <c r="D1999" t="inlineStr">
        <is>
          <t>KRONOBERGS LÄN</t>
        </is>
      </c>
      <c r="E1999" t="inlineStr">
        <is>
          <t>VÄXJÖ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23431-2025</t>
        </is>
      </c>
      <c r="B2000" s="1" t="n">
        <v>45792</v>
      </c>
      <c r="C2000" s="1" t="n">
        <v>45803</v>
      </c>
      <c r="D2000" t="inlineStr">
        <is>
          <t>KRONOBERGS LÄN</t>
        </is>
      </c>
      <c r="E2000" t="inlineStr">
        <is>
          <t>VÄXJÖ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23807-2025</t>
        </is>
      </c>
      <c r="B2001" s="1" t="n">
        <v>45793</v>
      </c>
      <c r="C2001" s="1" t="n">
        <v>45803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24041-2025</t>
        </is>
      </c>
      <c r="B2002" s="1" t="n">
        <v>45796</v>
      </c>
      <c r="C2002" s="1" t="n">
        <v>45803</v>
      </c>
      <c r="D2002" t="inlineStr">
        <is>
          <t>KRONOBERGS LÄN</t>
        </is>
      </c>
      <c r="E2002" t="inlineStr">
        <is>
          <t>VÄXJÖ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>
      <c r="A2003" t="inlineStr">
        <is>
          <t>A 24294-2025</t>
        </is>
      </c>
      <c r="B2003" s="1" t="n">
        <v>45797</v>
      </c>
      <c r="C2003" s="1" t="n">
        <v>45803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2025-05-26T17:30:29Z</dcterms:created>
  <dcterms:modified xmlns:dcterms="http://purl.org/dc/terms/" xmlns:xsi="http://www.w3.org/2001/XMLSchema-instance" xsi:type="dcterms:W3CDTF">2025-05-26T17:30:30Z</dcterms:modified>
</cp:coreProperties>
</file>