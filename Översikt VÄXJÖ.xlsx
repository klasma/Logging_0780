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45807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45807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45807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45807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45807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45807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45807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45807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45807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45807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45807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45807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45807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45807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45807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45807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45807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45807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45807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45807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45807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45807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45807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45807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45807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45807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43454-2019</t>
        </is>
      </c>
      <c r="B28" s="1" t="n">
        <v>43706</v>
      </c>
      <c r="C28" s="1" t="n">
        <v>45807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43454-2019 artfynd.xlsx", "A 43454-2019")</f>
        <v/>
      </c>
      <c r="T28">
        <f>HYPERLINK("https://klasma.github.io/Logging_0780/kartor/A 43454-2019 karta.png", "A 43454-2019")</f>
        <v/>
      </c>
      <c r="V28">
        <f>HYPERLINK("https://klasma.github.io/Logging_0780/klagomål/A 43454-2019 FSC-klagomål.docx", "A 43454-2019")</f>
        <v/>
      </c>
      <c r="W28">
        <f>HYPERLINK("https://klasma.github.io/Logging_0780/klagomålsmail/A 43454-2019 FSC-klagomål mail.docx", "A 43454-2019")</f>
        <v/>
      </c>
      <c r="X28">
        <f>HYPERLINK("https://klasma.github.io/Logging_0780/tillsyn/A 43454-2019 tillsynsbegäran.docx", "A 43454-2019")</f>
        <v/>
      </c>
      <c r="Y28">
        <f>HYPERLINK("https://klasma.github.io/Logging_0780/tillsynsmail/A 43454-2019 tillsynsbegäran mail.docx", "A 43454-2019")</f>
        <v/>
      </c>
    </row>
    <row r="29" ht="15" customHeight="1">
      <c r="A29" t="inlineStr">
        <is>
          <t>A 16615-2020</t>
        </is>
      </c>
      <c r="B29" s="1" t="n">
        <v>43909</v>
      </c>
      <c r="C29" s="1" t="n">
        <v>45807</v>
      </c>
      <c r="D29" t="inlineStr">
        <is>
          <t>KRONOBERGS LÄN</t>
        </is>
      </c>
      <c r="E29" t="inlineStr">
        <is>
          <t>VÄXJÖ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HYPERLINK("https://klasma.github.io/Logging_0780/artfynd/A 16615-2020 artfynd.xlsx", "A 16615-2020")</f>
        <v/>
      </c>
      <c r="T29">
        <f>HYPERLINK("https://klasma.github.io/Logging_0780/kartor/A 16615-2020 karta.png", "A 16615-2020")</f>
        <v/>
      </c>
      <c r="V29">
        <f>HYPERLINK("https://klasma.github.io/Logging_0780/klagomål/A 16615-2020 FSC-klagomål.docx", "A 16615-2020")</f>
        <v/>
      </c>
      <c r="W29">
        <f>HYPERLINK("https://klasma.github.io/Logging_0780/klagomålsmail/A 16615-2020 FSC-klagomål mail.docx", "A 16615-2020")</f>
        <v/>
      </c>
      <c r="X29">
        <f>HYPERLINK("https://klasma.github.io/Logging_0780/tillsyn/A 16615-2020 tillsynsbegäran.docx", "A 16615-2020")</f>
        <v/>
      </c>
      <c r="Y29">
        <f>HYPERLINK("https://klasma.github.io/Logging_0780/tillsynsmail/A 16615-2020 tillsynsbegäran mail.docx", "A 16615-2020")</f>
        <v/>
      </c>
    </row>
    <row r="30" ht="15" customHeight="1">
      <c r="A30" t="inlineStr">
        <is>
          <t>A 62695-2020</t>
        </is>
      </c>
      <c r="B30" s="1" t="n">
        <v>44161</v>
      </c>
      <c r="C30" s="1" t="n">
        <v>45807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62695-2020 artfynd.xlsx", "A 62695-2020")</f>
        <v/>
      </c>
      <c r="T30">
        <f>HYPERLINK("https://klasma.github.io/Logging_0780/kartor/A 62695-2020 karta.png", "A 62695-2020")</f>
        <v/>
      </c>
      <c r="V30">
        <f>HYPERLINK("https://klasma.github.io/Logging_0780/klagomål/A 62695-2020 FSC-klagomål.docx", "A 62695-2020")</f>
        <v/>
      </c>
      <c r="W30">
        <f>HYPERLINK("https://klasma.github.io/Logging_0780/klagomålsmail/A 62695-2020 FSC-klagomål mail.docx", "A 62695-2020")</f>
        <v/>
      </c>
      <c r="X30">
        <f>HYPERLINK("https://klasma.github.io/Logging_0780/tillsyn/A 62695-2020 tillsynsbegäran.docx", "A 62695-2020")</f>
        <v/>
      </c>
      <c r="Y30">
        <f>HYPERLINK("https://klasma.github.io/Logging_0780/tillsynsmail/A 62695-2020 tillsynsbegäran mail.docx", "A 62695-2020")</f>
        <v/>
      </c>
    </row>
    <row r="31" ht="15" customHeight="1">
      <c r="A31" t="inlineStr">
        <is>
          <t>A 69178-2020</t>
        </is>
      </c>
      <c r="B31" s="1" t="n">
        <v>44189</v>
      </c>
      <c r="C31" s="1" t="n">
        <v>45807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HYPERLINK("https://klasma.github.io/Logging_0780/artfynd/A 69178-2020 artfynd.xlsx", "A 69178-2020")</f>
        <v/>
      </c>
      <c r="T31">
        <f>HYPERLINK("https://klasma.github.io/Logging_0780/kartor/A 69178-2020 karta.png", "A 69178-2020")</f>
        <v/>
      </c>
      <c r="V31">
        <f>HYPERLINK("https://klasma.github.io/Logging_0780/klagomål/A 69178-2020 FSC-klagomål.docx", "A 69178-2020")</f>
        <v/>
      </c>
      <c r="W31">
        <f>HYPERLINK("https://klasma.github.io/Logging_0780/klagomålsmail/A 69178-2020 FSC-klagomål mail.docx", "A 69178-2020")</f>
        <v/>
      </c>
      <c r="X31">
        <f>HYPERLINK("https://klasma.github.io/Logging_0780/tillsyn/A 69178-2020 tillsynsbegäran.docx", "A 69178-2020")</f>
        <v/>
      </c>
      <c r="Y31">
        <f>HYPERLINK("https://klasma.github.io/Logging_0780/tillsynsmail/A 69178-2020 tillsynsbegäran mail.docx", "A 69178-2020")</f>
        <v/>
      </c>
      <c r="Z31">
        <f>HYPERLINK("https://klasma.github.io/Logging_0780/fåglar/A 69178-2020 prioriterade fågelarter.docx", "A 69178-2020")</f>
        <v/>
      </c>
    </row>
    <row r="32" ht="15" customHeight="1">
      <c r="A32" t="inlineStr">
        <is>
          <t>A 4515-2021</t>
        </is>
      </c>
      <c r="B32" s="1" t="n">
        <v>44224</v>
      </c>
      <c r="C32" s="1" t="n">
        <v>45807</v>
      </c>
      <c r="D32" t="inlineStr">
        <is>
          <t>KRONOBERGS LÄN</t>
        </is>
      </c>
      <c r="E32" t="inlineStr">
        <is>
          <t>VÄXJÖ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4515-2021 artfynd.xlsx", "A 4515-2021")</f>
        <v/>
      </c>
      <c r="T32">
        <f>HYPERLINK("https://klasma.github.io/Logging_0780/kartor/A 4515-2021 karta.png", "A 4515-2021")</f>
        <v/>
      </c>
      <c r="V32">
        <f>HYPERLINK("https://klasma.github.io/Logging_0780/klagomål/A 4515-2021 FSC-klagomål.docx", "A 4515-2021")</f>
        <v/>
      </c>
      <c r="W32">
        <f>HYPERLINK("https://klasma.github.io/Logging_0780/klagomålsmail/A 4515-2021 FSC-klagomål mail.docx", "A 4515-2021")</f>
        <v/>
      </c>
      <c r="X32">
        <f>HYPERLINK("https://klasma.github.io/Logging_0780/tillsyn/A 4515-2021 tillsynsbegäran.docx", "A 4515-2021")</f>
        <v/>
      </c>
      <c r="Y32">
        <f>HYPERLINK("https://klasma.github.io/Logging_0780/tillsynsmail/A 4515-2021 tillsynsbegäran mail.docx", "A 4515-2021")</f>
        <v/>
      </c>
    </row>
    <row r="33" ht="15" customHeight="1">
      <c r="A33" t="inlineStr">
        <is>
          <t>A 5364-2021</t>
        </is>
      </c>
      <c r="B33" s="1" t="n">
        <v>44229</v>
      </c>
      <c r="C33" s="1" t="n">
        <v>45807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HYPERLINK("https://klasma.github.io/Logging_0780/artfynd/A 5364-2021 artfynd.xlsx", "A 5364-2021")</f>
        <v/>
      </c>
      <c r="T33">
        <f>HYPERLINK("https://klasma.github.io/Logging_0780/kartor/A 5364-2021 karta.png", "A 5364-2021")</f>
        <v/>
      </c>
      <c r="V33">
        <f>HYPERLINK("https://klasma.github.io/Logging_0780/klagomål/A 5364-2021 FSC-klagomål.docx", "A 5364-2021")</f>
        <v/>
      </c>
      <c r="W33">
        <f>HYPERLINK("https://klasma.github.io/Logging_0780/klagomålsmail/A 5364-2021 FSC-klagomål mail.docx", "A 5364-2021")</f>
        <v/>
      </c>
      <c r="X33">
        <f>HYPERLINK("https://klasma.github.io/Logging_0780/tillsyn/A 5364-2021 tillsynsbegäran.docx", "A 5364-2021")</f>
        <v/>
      </c>
      <c r="Y33">
        <f>HYPERLINK("https://klasma.github.io/Logging_0780/tillsynsmail/A 5364-2021 tillsynsbegäran mail.docx", "A 5364-2021")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45807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45807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45807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45807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45807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45807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45807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45807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45807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45807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45807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45807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45807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45807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45807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45807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45807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45807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45807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45807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45807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45807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45807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45807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45807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45807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45807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45807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45807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45807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45807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45807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45807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45807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45807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45807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45807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45807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45807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45807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45807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45807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45807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45807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45807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45807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45807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45807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45807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45807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45807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45807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45807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45807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45807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45807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45807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45807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45807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45807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45807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45807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45807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45807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45807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45807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45807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45807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45807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45807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45807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45807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45807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45807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45807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45807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45807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45807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45807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45807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45807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45807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45807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45807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45807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45807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45807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45807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45807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45807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45807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45807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45807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45807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45807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45807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45807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45807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45807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45807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45807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45807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45807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45807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45807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45807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45807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45807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45807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45807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45807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45807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45807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45807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45807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45807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45807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45807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45807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45807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45807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45807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45807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45807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45807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45807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45807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45807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45807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45807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45807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45807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45807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45807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45807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45807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45807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45807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45807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45807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45807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45807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45807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45807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45807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45807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45807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45807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45807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45807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45807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45807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45807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45807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45807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45807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45807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45807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45807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45807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45807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45807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45807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45807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45807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45807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45807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45807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45807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45807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45807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45807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45807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45807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45807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45807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45807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45807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45807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45807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45807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45807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45807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45807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45807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45807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45807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45807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45807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45807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45807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45807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45807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45807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45807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45807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45807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45807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45807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45807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45807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45807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45807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45807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45807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45807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45807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45807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45807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45807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45807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45807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45807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45807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45807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45807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45807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45807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45807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45807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45807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45807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45807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45807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45807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45807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45807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45807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45807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45807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45807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45807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45807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45807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45807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45807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45807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45807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45807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45807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45807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45807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45807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45807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45807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45807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45807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45807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45807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45807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45807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45807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45807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45807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45807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45807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45807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45807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45807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45807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45807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45807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45807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45807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45807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45807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45807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45807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45807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45807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45807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45807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45807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45807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45807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45807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45807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45807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45807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45807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45807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45807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45807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45807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45807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45807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45807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45807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45807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45807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45807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45807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45807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45807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45807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45807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45807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45807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45807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45807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45807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45807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45807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45807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45807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45807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45807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45807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45807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45807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45807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45807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45807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45807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45807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45807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45807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45807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45807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45807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45807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45807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45807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45807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45807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45807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45807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45807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45807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45807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45807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45807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45807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45807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45807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45807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45807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45807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45807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45807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45807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45807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45807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45807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45807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45807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45807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45807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45807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45807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45807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45807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45807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45807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45807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45807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45807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45807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45807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45807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45807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45807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45807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45807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45807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45807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45807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45807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45807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45807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45807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45807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45807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45807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45807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45807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45807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45807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45807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45807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45807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45807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45807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45807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45807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45807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45807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45807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45807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45807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45807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45807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45807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45807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45807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45807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45807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45807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45807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45807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45807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45807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45807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45807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45807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45807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45807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45807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45807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45807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45807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45807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45807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45807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45807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45807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45807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45807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45807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45807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45807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45807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45807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45807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45807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45807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45807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45807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45807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45807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45807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45807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45807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45807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45807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45807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45807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45807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45807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45807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45807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45807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45807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45807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45807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45807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45807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45807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45807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45807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45807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45807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45807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45807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45807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45807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45807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45807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45807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45807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45807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45807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45807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45807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45807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45807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45807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45807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45807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45807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45807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45807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45807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45807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45807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45807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45807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45807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45807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45807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45807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45807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45807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45807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45807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45807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45807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45807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45807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45807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45807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45807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45807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45807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45807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45807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45807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45807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45807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45807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45807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45807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45807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45807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45807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45807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45807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45807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45807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45807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45807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45807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45807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45807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45807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45807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45807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45807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45807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45807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45807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45807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45807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45807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45807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45807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45807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45807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45807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45807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45807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45807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45807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45807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45807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45807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45807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45807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45807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45807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45807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45807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45807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45807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45807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45807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45807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45807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45807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45807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45807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45807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45807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45807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45807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45807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45807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45807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45807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45807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45807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45807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45807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45807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45807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45807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45807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45807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45807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45807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45807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45807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45807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45807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45807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45807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45807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45807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45807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45807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45807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45807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45807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45807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45807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45807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45807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45807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45807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45807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45807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45807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45807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45807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45807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45807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45807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45807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45807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45807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45807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45807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45807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45807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45807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45807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45807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45807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45807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45807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45807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45807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45807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45807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45807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45807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45807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45807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45807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45807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45807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45807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45807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45807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45807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45807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45807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45807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45807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45807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45807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45807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45807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45807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45807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45807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45807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45807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45807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45807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45807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45807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45807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45807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45807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45807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45807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45807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45807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45807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45807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45807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45807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45807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45807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45807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45807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45807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45807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45807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45807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45807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45807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45807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45807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45807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45807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45807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45807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45807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45807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45807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45807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45807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45807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45807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45807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45807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45807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45807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45807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45807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45807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45807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45807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45807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45807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45807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45807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45807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45807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45807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45807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45807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45807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45807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45807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45807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45807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45807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45807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45807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45807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45807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45807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45807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45807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45807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45807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45807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45807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45807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45807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45807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45807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45807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45807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45807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45807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45807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45807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45807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45807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45807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45807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45807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45807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45807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45807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45807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45807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45807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45807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45807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45807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45807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45807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45807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45807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45807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45807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45807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45807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45807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45807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45807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45807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45807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45807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45807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45807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45807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45807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45807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45807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45807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45807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45807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45807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45807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45807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45807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45807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45807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45807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45807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45807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45807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45807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45807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45807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45807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45807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45807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45807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45807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45807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45807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45807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45807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45807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45807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45807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45807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45807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45807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45807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45807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45807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45807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45807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45807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45807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45807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45807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45807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45807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45807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45807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45807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45807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45807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45807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45807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45807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45807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45807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45807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45807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45807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45807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45807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45807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45807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45807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45807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45807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45807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45807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45807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45807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45807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45807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45807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45807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45807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45807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45807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45807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45807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45807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45807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45807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45807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45807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45807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45807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45807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45807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45807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45807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45807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45807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45807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45807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45807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45807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45807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45807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45807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45807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45807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45807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45807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45807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45807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45807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45807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45807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45807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45807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45807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45807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45807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45807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45807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45807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45807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45807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45807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45807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45807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45807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45807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45807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45807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45807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45807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45807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45807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45807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45807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45807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45807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45807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45807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45807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45807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45807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45807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45807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45807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45807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45807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45807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45807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45807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45807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45807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45807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45807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45807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45807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45807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45807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45807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45807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45807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45807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45807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45807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45807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45807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45807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45807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45807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45807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45807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45807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45807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45807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45807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45807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45807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45807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45807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45807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45807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45807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45807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45807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45807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45807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45807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45807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45807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45807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45807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45807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45807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45807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45807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45807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45807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45807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45807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45807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45807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45807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45807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45807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45807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45807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45807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45807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45807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45807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45807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45807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45807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45807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45807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45807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45807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45807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45807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45807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45807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45807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45807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45807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45807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45807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45807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45807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45807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45807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45807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45807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45807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45807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45807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45807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45807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45807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45807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45807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45807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45807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45807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45807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45807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45807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45807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45807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45807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45807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45807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45807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45807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45807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45807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45807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45807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45807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45807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45807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45807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45807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45807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45807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45807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45807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45807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45807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45807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45807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45807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45807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45807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45807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45807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45807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45807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45807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45807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45807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45807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45807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45807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45807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45807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45807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45807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45807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45807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45807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45807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45807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45807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45807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45807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45807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45807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45807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45807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45807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45807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45807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45807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45807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45807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45807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45807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45807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45807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45807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45807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45807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45807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45807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45807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45807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45807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45807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45807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45807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45807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45807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45807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45807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45807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45807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45807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45807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45807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45807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45807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45807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45807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45807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45807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45807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45807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45807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45807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45807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45807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45807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45807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45807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45807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45807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45807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45807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45807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45807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45807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45807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45807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45807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45807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45807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45807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45807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45807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45807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45807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45807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45807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45807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45807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45807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45807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45807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45807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45807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45807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45807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45807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45807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45807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45807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45807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45807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45807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45807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45807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45807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45807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45807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45807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45807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45807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45807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45807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45807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45807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45807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45807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45807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45807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45807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45807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45807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45807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45807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45807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45807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45807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45807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45807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45807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45807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45807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45807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45807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45807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45807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45807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45807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45807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45807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45807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45807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45807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45807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45807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45807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45807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45807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45807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45807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45807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45807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45807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45807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45807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45807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45807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45807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45807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45807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45807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45807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45807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45807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45807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45807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45807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45807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45807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45807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45807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45807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45807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45807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45807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45807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45807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45807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45807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45807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45807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45807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45807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45807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45807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45807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45807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45807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45807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45807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45807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45807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45807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45807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45807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45807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45807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45807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45807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45807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45807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45807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45807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45807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45807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45807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45807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45807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45807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45807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45807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45807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45807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45807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45807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45807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45807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45807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45807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45807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45807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45807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45807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45807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45807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45807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45807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45807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45807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45807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45807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45807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45807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45807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45807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45807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45807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45807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45807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45807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45807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45807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45807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45807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45807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45807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45807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45807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45807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45807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45807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45807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45807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45807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45807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45807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45807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45807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45807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45807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45807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45807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45807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45807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45807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45807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45807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45807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45807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45807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45807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45807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45807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45807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45807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45807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45807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45807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45807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45807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45807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45807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45807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45807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45807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45807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45807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45807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45807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45807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45807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45807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45807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45807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45807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45807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45807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45807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45807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45807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45807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45807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45807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45807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45807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45807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45807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45807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45807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45807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45807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45807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45807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45807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45807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45807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45807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45807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45807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45807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45807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45807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45807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45807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45807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45807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45807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45807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45807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45807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45807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45807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45807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45807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45807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45807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45807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45807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45807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45807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45807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45807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45807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45807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45807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45807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45807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45807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45807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45807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45807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45807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45807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45807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45807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45807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45807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45807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45807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45807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45807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45807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45807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45807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45807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45807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45807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45807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45807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45807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45807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45807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45807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45807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45807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45807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45807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45807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45807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45807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45807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45807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45807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45807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45807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45807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45807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45807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45807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45807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45807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45807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45807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45807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45807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45807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45807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45807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45807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45807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45807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45807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45807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45807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45807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45807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45807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45807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45807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45807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45807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45807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45807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45807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45807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45807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45807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45807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45807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45807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45807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45807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45807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45807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45807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45807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45807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45807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45807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45807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45807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45807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45807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45807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45807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45807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45807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45807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45807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45807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45807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45807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45807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45807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45807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45807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45807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45807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45807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45807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45807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45807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45807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45807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45807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45807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45807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45807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45807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45807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45807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45807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45807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45807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45807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45807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45807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45807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45807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45807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45807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45807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45807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45807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45807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45807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45807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45807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45807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45807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45807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45807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45807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45807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45807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45807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45807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45807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45807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45807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45807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45807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45807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45807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45807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45807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45807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45807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45807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45807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45807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45807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45807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45807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45807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45807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45807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45807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45807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45807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45807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45807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45807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45807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45807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45807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45807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45807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45807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45807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45807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45807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45807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45807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45807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45807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45807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45807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45807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45807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45807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45807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45807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45807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45807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45807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45807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45807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45807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45807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45807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45807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45807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45807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45807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45807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45807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45807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45807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45807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45807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45807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45807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45807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45807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45807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45807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45807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45807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45807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45807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45807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45807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45807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45807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45807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45807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45807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45807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45807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45807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45807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45807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45807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45807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45807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45807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45807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45807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45807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45807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45807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45807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45807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45807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45807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45807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45807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45807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45807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45807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45807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45807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45807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45807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45807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45807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45807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45807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45807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45807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45807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45807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45807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45807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45807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45807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45807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45807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45807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45807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45807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45807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45807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45807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45807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45807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45807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45807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45807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45807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45807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45807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45807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45807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45807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45807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45807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45807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45807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45807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45807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45807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45807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45807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45807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45807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45807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45807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45807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45807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45807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45807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45807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45807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45807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45807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45807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45807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45807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45807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45807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45807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45807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45807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45807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45807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45807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45807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45807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45807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45807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45807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45807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45807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45807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45807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45807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45807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45807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45807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45807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45807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45807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45807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45807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45807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45807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45807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45807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45807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45807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45807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45807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45807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45807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45807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45807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45807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45807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45807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45807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45807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45807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45807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45807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45807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45807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45807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45807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45807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45807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45807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45807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45807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45807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45807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45807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45807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45807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45807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45807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45807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45807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45807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45807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45807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45807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45807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45807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45807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45807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45807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45807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45807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45807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45807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45807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45807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45807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45807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45807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45807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45807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45807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45807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45807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45807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45807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45807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45807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45807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45807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45807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45807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45807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45807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45807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45807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45807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45807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45807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45807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45807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45807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45807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45807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45807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45807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45807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45807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45807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45807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45807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45807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45807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45807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45807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45807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45807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45807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45807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45807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45807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45807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45807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45807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45807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45807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45807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45807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45807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45807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45807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45807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45807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45807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45807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45807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45807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45807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45807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45807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45807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45807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45807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45807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45807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45807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45807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45807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45807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45807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45807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45807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45807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45807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45807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45807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45807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45807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45807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45807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45807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45807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45807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45807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45807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45807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45807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45807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45807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45807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45807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45807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45807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45807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45807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45807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45807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45807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45807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45807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45807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45807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45807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45807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45807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45807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45807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45807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45807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45807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45807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45807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45807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45807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45807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45807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45807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45807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45807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45807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45807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45807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45807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45807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45807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45807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45807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45807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45807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45807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45807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45807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45807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45807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45807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45807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45807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45807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45807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45807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45807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45807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45807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45807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45807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45807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45807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45807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45807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45807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45807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45807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45807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45807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45807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45807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45807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45807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45807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45807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45807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45807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45807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45807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45807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45807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45807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45807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45807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45807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45807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45807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45807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45807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45807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45807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45807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45807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45807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45807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45807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45807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45807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45807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21297-2025</t>
        </is>
      </c>
      <c r="B1974" s="1" t="n">
        <v>45780</v>
      </c>
      <c r="C1974" s="1" t="n">
        <v>45807</v>
      </c>
      <c r="D1974" t="inlineStr">
        <is>
          <t>KRONOBERGS LÄN</t>
        </is>
      </c>
      <c r="E1974" t="inlineStr">
        <is>
          <t>VÄXJÖ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21301-2025</t>
        </is>
      </c>
      <c r="B1975" s="1" t="n">
        <v>45780</v>
      </c>
      <c r="C1975" s="1" t="n">
        <v>45807</v>
      </c>
      <c r="D1975" t="inlineStr">
        <is>
          <t>KRONOBERGS LÄN</t>
        </is>
      </c>
      <c r="E1975" t="inlineStr">
        <is>
          <t>VÄXJÖ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21298-2025</t>
        </is>
      </c>
      <c r="B1976" s="1" t="n">
        <v>45780</v>
      </c>
      <c r="C1976" s="1" t="n">
        <v>45807</v>
      </c>
      <c r="D1976" t="inlineStr">
        <is>
          <t>KRONOBERGS LÄN</t>
        </is>
      </c>
      <c r="E1976" t="inlineStr">
        <is>
          <t>VÄXJÖ</t>
        </is>
      </c>
      <c r="G1976" t="n">
        <v>0.4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45807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45807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21303-2025</t>
        </is>
      </c>
      <c r="B1979" s="1" t="n">
        <v>45780</v>
      </c>
      <c r="C1979" s="1" t="n">
        <v>45807</v>
      </c>
      <c r="D1979" t="inlineStr">
        <is>
          <t>KRONOBERGS LÄN</t>
        </is>
      </c>
      <c r="E1979" t="inlineStr">
        <is>
          <t>VÄXJÖ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21528-2025</t>
        </is>
      </c>
      <c r="B1980" s="1" t="n">
        <v>45782</v>
      </c>
      <c r="C1980" s="1" t="n">
        <v>45807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21526-2025</t>
        </is>
      </c>
      <c r="B1981" s="1" t="n">
        <v>45782</v>
      </c>
      <c r="C1981" s="1" t="n">
        <v>45807</v>
      </c>
      <c r="D1981" t="inlineStr">
        <is>
          <t>KRONOBERGS LÄN</t>
        </is>
      </c>
      <c r="E1981" t="inlineStr">
        <is>
          <t>VÄXJÖ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45807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21515-2025</t>
        </is>
      </c>
      <c r="B1983" s="1" t="n">
        <v>45782</v>
      </c>
      <c r="C1983" s="1" t="n">
        <v>45807</v>
      </c>
      <c r="D1983" t="inlineStr">
        <is>
          <t>KRONOBERGS LÄN</t>
        </is>
      </c>
      <c r="E1983" t="inlineStr">
        <is>
          <t>VÄXJÖ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21695-2025</t>
        </is>
      </c>
      <c r="B1984" s="1" t="n">
        <v>45783</v>
      </c>
      <c r="C1984" s="1" t="n">
        <v>45807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21668-2025</t>
        </is>
      </c>
      <c r="B1985" s="1" t="n">
        <v>45783</v>
      </c>
      <c r="C1985" s="1" t="n">
        <v>45807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21688-2025</t>
        </is>
      </c>
      <c r="B1986" s="1" t="n">
        <v>45783</v>
      </c>
      <c r="C1986" s="1" t="n">
        <v>45807</v>
      </c>
      <c r="D1986" t="inlineStr">
        <is>
          <t>KRONOBERGS LÄN</t>
        </is>
      </c>
      <c r="E1986" t="inlineStr">
        <is>
          <t>VÄXJÖ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45807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45807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45807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45807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45807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45807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22766-2025</t>
        </is>
      </c>
      <c r="B1993" s="1" t="n">
        <v>45789</v>
      </c>
      <c r="C1993" s="1" t="n">
        <v>45807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22665-2025</t>
        </is>
      </c>
      <c r="B1994" s="1" t="n">
        <v>45789</v>
      </c>
      <c r="C1994" s="1" t="n">
        <v>45807</v>
      </c>
      <c r="D1994" t="inlineStr">
        <is>
          <t>KRONOBERGS LÄN</t>
        </is>
      </c>
      <c r="E1994" t="inlineStr">
        <is>
          <t>VÄXJÖ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45807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22684-2025</t>
        </is>
      </c>
      <c r="B1996" s="1" t="n">
        <v>45789</v>
      </c>
      <c r="C1996" s="1" t="n">
        <v>45807</v>
      </c>
      <c r="D1996" t="inlineStr">
        <is>
          <t>KRONOBERGS LÄN</t>
        </is>
      </c>
      <c r="E1996" t="inlineStr">
        <is>
          <t>VÄXJÖ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45807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23228-2025</t>
        </is>
      </c>
      <c r="B1998" s="1" t="n">
        <v>45791</v>
      </c>
      <c r="C1998" s="1" t="n">
        <v>45807</v>
      </c>
      <c r="D1998" t="inlineStr">
        <is>
          <t>KRONOBERGS LÄN</t>
        </is>
      </c>
      <c r="E1998" t="inlineStr">
        <is>
          <t>VÄXJÖ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45807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45807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45807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45807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45807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25593-2025</t>
        </is>
      </c>
      <c r="B2004" s="1" t="n">
        <v>45803</v>
      </c>
      <c r="C2004" s="1" t="n">
        <v>45807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25530-2025</t>
        </is>
      </c>
      <c r="B2005" s="1" t="n">
        <v>45803</v>
      </c>
      <c r="C2005" s="1" t="n">
        <v>45807</v>
      </c>
      <c r="D2005" t="inlineStr">
        <is>
          <t>KRONOBERGS LÄN</t>
        </is>
      </c>
      <c r="E2005" t="inlineStr">
        <is>
          <t>VÄXJÖ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25528-2025</t>
        </is>
      </c>
      <c r="B2006" s="1" t="n">
        <v>45803</v>
      </c>
      <c r="C2006" s="1" t="n">
        <v>45807</v>
      </c>
      <c r="D2006" t="inlineStr">
        <is>
          <t>KRONOBERGS LÄN</t>
        </is>
      </c>
      <c r="E2006" t="inlineStr">
        <is>
          <t>VÄXJÖ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25529-2025</t>
        </is>
      </c>
      <c r="B2007" s="1" t="n">
        <v>45803</v>
      </c>
      <c r="C2007" s="1" t="n">
        <v>45807</v>
      </c>
      <c r="D2007" t="inlineStr">
        <is>
          <t>KRONOBERGS LÄN</t>
        </is>
      </c>
      <c r="E2007" t="inlineStr">
        <is>
          <t>VÄXJÖ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25592-2025</t>
        </is>
      </c>
      <c r="B2008" s="1" t="n">
        <v>45803</v>
      </c>
      <c r="C2008" s="1" t="n">
        <v>45807</v>
      </c>
      <c r="D2008" t="inlineStr">
        <is>
          <t>KRONOBERGS LÄN</t>
        </is>
      </c>
      <c r="E2008" t="inlineStr">
        <is>
          <t>VÄXJÖ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25583-2025</t>
        </is>
      </c>
      <c r="B2009" s="1" t="n">
        <v>45803</v>
      </c>
      <c r="C2009" s="1" t="n">
        <v>45807</v>
      </c>
      <c r="D2009" t="inlineStr">
        <is>
          <t>KRONOBERGS LÄN</t>
        </is>
      </c>
      <c r="E2009" t="inlineStr">
        <is>
          <t>VÄXJÖ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25584-2025</t>
        </is>
      </c>
      <c r="B2010" s="1" t="n">
        <v>45803</v>
      </c>
      <c r="C2010" s="1" t="n">
        <v>45807</v>
      </c>
      <c r="D2010" t="inlineStr">
        <is>
          <t>KRONOBERGS LÄN</t>
        </is>
      </c>
      <c r="E2010" t="inlineStr">
        <is>
          <t>VÄXJÖ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26072-2025</t>
        </is>
      </c>
      <c r="B2011" s="1" t="n">
        <v>45805</v>
      </c>
      <c r="C2011" s="1" t="n">
        <v>45807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>
      <c r="A2012" t="inlineStr">
        <is>
          <t>A 26068-2025</t>
        </is>
      </c>
      <c r="B2012" s="1" t="n">
        <v>45805</v>
      </c>
      <c r="C2012" s="1" t="n">
        <v>45807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2025-05-30T17:46:03Z</dcterms:created>
  <dcterms:modified xmlns:dcterms="http://purl.org/dc/terms/" xmlns:xsi="http://www.w3.org/2001/XMLSchema-instance" xsi:type="dcterms:W3CDTF">2025-05-30T17:46:04Z</dcterms:modified>
</cp:coreProperties>
</file>