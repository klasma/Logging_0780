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46265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46265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46265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46265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46265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46265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46265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46265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46265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46265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46265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46265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46265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46265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46265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46265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46265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46265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46265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46265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46265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46265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46265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46265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47486-2024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45587</v>
      </c>
      <c r="E33" s="1" t="n">
        <v>46265</v>
      </c>
      <c r="F33" t="inlineStr">
        <is>
          <t>KRONOBERGS LÄN</t>
        </is>
      </c>
      <c r="G33" t="inlineStr">
        <is>
          <t>VÄXJÖ</t>
        </is>
      </c>
      <c r="I33" t="n">
        <v>6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Pärluggla
Nattskärra</t>
        </is>
      </c>
      <c r="W33">
        <f>HYPERLINK("https://klasma.github.io/Logging_0780/artfynd/A 47486-2024 artfynd.xlsx", "A 47486-2024")</f>
        <v/>
      </c>
      <c r="X33">
        <f>HYPERLINK("https://klasma.github.io/Logging_0780/kartor/A 47486-2024 karta.png", "A 47486-2024")</f>
        <v/>
      </c>
      <c r="Y33">
        <f>HYPERLINK("https://klasma.github.io/Logging_0780/kartor_geotiff/A 47486-2024 georefererad karta.tif", "A 47486-2024")</f>
        <v/>
      </c>
      <c r="AA33">
        <f>HYPERLINK("https://klasma.github.io/Logging_0780/klagomål/A 47486-2024 FSC-klagomål.docx", "A 47486-2024")</f>
        <v/>
      </c>
      <c r="AB33">
        <f>HYPERLINK("https://klasma.github.io/Logging_0780/klagomålsmail/A 47486-2024 FSC-klagomål mail.docx", "A 47486-2024")</f>
        <v/>
      </c>
      <c r="AC33">
        <f>HYPERLINK("https://klasma.github.io/Logging_0780/tillsyn/A 47486-2024 tillsynsbegäran.docx", "A 47486-2024")</f>
        <v/>
      </c>
      <c r="AD33">
        <f>HYPERLINK("https://klasma.github.io/Logging_0780/tillsynsmail/A 47486-2024 tillsynsbegäran mail.docx", "A 47486-2024")</f>
        <v/>
      </c>
      <c r="AE33">
        <f>HYPERLINK("https://klasma.github.io/Logging_0780/fåglar/A 47486-2024 prioriterade fågelarter.docx", "A 47486-2024")</f>
        <v/>
      </c>
    </row>
    <row r="34" ht="15" customHeight="1">
      <c r="A34" t="inlineStr">
        <is>
          <t>A 44923-2023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46265</v>
      </c>
      <c r="F34" t="inlineStr">
        <is>
          <t>KRONOBERGS LÄN</t>
        </is>
      </c>
      <c r="G34" t="inlineStr">
        <is>
          <t>VÄXJÖ</t>
        </is>
      </c>
      <c r="I34" t="n">
        <v>2.3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Sommarfibbla
Åkerkulla</t>
        </is>
      </c>
      <c r="W34">
        <f>HYPERLINK("https://klasma.github.io/Logging_0780/artfynd/A 44923-2023 artfynd.xlsx", "A 44923-2023")</f>
        <v/>
      </c>
      <c r="X34">
        <f>HYPERLINK("https://klasma.github.io/Logging_0780/kartor/A 44923-2023 karta.png", "A 44923-2023")</f>
        <v/>
      </c>
      <c r="Y34">
        <f>HYPERLINK("https://klasma.github.io/Logging_0780/kartor_geotiff/A 44923-2023 georefererad karta.tif", "A 44923-2023")</f>
        <v/>
      </c>
      <c r="AA34">
        <f>HYPERLINK("https://klasma.github.io/Logging_0780/klagomål/A 44923-2023 FSC-klagomål.docx", "A 44923-2023")</f>
        <v/>
      </c>
      <c r="AB34">
        <f>HYPERLINK("https://klasma.github.io/Logging_0780/klagomålsmail/A 44923-2023 FSC-klagomål mail.docx", "A 44923-2023")</f>
        <v/>
      </c>
      <c r="AC34">
        <f>HYPERLINK("https://klasma.github.io/Logging_0780/tillsyn/A 44923-2023 tillsynsbegäran.docx", "A 44923-2023")</f>
        <v/>
      </c>
      <c r="AD34">
        <f>HYPERLINK("https://klasma.github.io/Logging_0780/tillsynsmail/A 44923-2023 tillsynsbegäran mail.docx", "A 44923-2023")</f>
        <v/>
      </c>
    </row>
    <row r="35" ht="15" customHeight="1">
      <c r="A35" t="inlineStr">
        <is>
          <t>A 21333-2026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46147</v>
      </c>
      <c r="E35" s="1" t="n">
        <v>46265</v>
      </c>
      <c r="F35" t="inlineStr">
        <is>
          <t>KRONOBERGS LÄN</t>
        </is>
      </c>
      <c r="G35" t="inlineStr">
        <is>
          <t>VÄXJÖ</t>
        </is>
      </c>
      <c r="I35" t="n">
        <v>1.2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Vårstarr</t>
        </is>
      </c>
      <c r="W35">
        <f>HYPERLINK("https://klasma.github.io/Logging_0780/artfynd/A 21333-2026 artfynd.xlsx", "A 21333-2026")</f>
        <v/>
      </c>
      <c r="X35">
        <f>HYPERLINK("https://klasma.github.io/Logging_0780/kartor/A 21333-2026 karta.png", "A 21333-2026")</f>
        <v/>
      </c>
      <c r="Y35">
        <f>HYPERLINK("https://klasma.github.io/Logging_0780/kartor_geotiff/A 21333-2026 georefererad karta.tif", "A 21333-2026")</f>
        <v/>
      </c>
      <c r="AA35">
        <f>HYPERLINK("https://klasma.github.io/Logging_0780/klagomål/A 21333-2026 FSC-klagomål.docx", "A 21333-2026")</f>
        <v/>
      </c>
      <c r="AB35">
        <f>HYPERLINK("https://klasma.github.io/Logging_0780/klagomålsmail/A 21333-2026 FSC-klagomål mail.docx", "A 21333-2026")</f>
        <v/>
      </c>
      <c r="AC35">
        <f>HYPERLINK("https://klasma.github.io/Logging_0780/tillsyn/A 21333-2026 tillsynsbegäran.docx", "A 21333-2026")</f>
        <v/>
      </c>
      <c r="AD35">
        <f>HYPERLINK("https://klasma.github.io/Logging_0780/tillsynsmail/A 21333-2026 tillsynsbegäran mail.docx", "A 21333-2026")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46265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46265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23153-2026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46265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Västlig hakmossa
Tjäder</t>
        </is>
      </c>
      <c r="W38">
        <f>HYPERLINK("https://klasma.github.io/Logging_0780/artfynd/A 23153-2026 artfynd.xlsx", "A 23153-2026")</f>
        <v/>
      </c>
      <c r="X38">
        <f>HYPERLINK("https://klasma.github.io/Logging_0780/kartor/A 23153-2026 karta.png", "A 23153-2026")</f>
        <v/>
      </c>
      <c r="Y38">
        <f>HYPERLINK("https://klasma.github.io/Logging_0780/kartor_geotiff/A 23153-2026 georefererad karta.tif", "A 23153-2026")</f>
        <v/>
      </c>
      <c r="AA38">
        <f>HYPERLINK("https://klasma.github.io/Logging_0780/klagomål/A 23153-2026 FSC-klagomål.docx", "A 23153-2026")</f>
        <v/>
      </c>
      <c r="AB38">
        <f>HYPERLINK("https://klasma.github.io/Logging_0780/klagomålsmail/A 23153-2026 FSC-klagomål mail.docx", "A 23153-2026")</f>
        <v/>
      </c>
      <c r="AC38">
        <f>HYPERLINK("https://klasma.github.io/Logging_0780/tillsyn/A 23153-2026 tillsynsbegäran.docx", "A 23153-2026")</f>
        <v/>
      </c>
      <c r="AD38">
        <f>HYPERLINK("https://klasma.github.io/Logging_0780/tillsynsmail/A 23153-2026 tillsynsbegäran mail.docx", "A 23153-2026")</f>
        <v/>
      </c>
      <c r="AE38">
        <f>HYPERLINK("https://klasma.github.io/Logging_0780/fåglar/A 23153-2026 prioriterade fågelarter.docx", "A 23153-2026")</f>
        <v/>
      </c>
    </row>
    <row r="39" ht="15" customHeight="1">
      <c r="A39" t="inlineStr">
        <is>
          <t>A 26423-2026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46265</v>
      </c>
      <c r="F39" t="inlineStr">
        <is>
          <t>KRONOBERGS LÄN</t>
        </is>
      </c>
      <c r="G39" t="inlineStr">
        <is>
          <t>VÄXJÖ</t>
        </is>
      </c>
      <c r="H39" t="inlineStr">
        <is>
          <t>Kyrkan</t>
        </is>
      </c>
      <c r="I39" t="n">
        <v>1.9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Hårklomossa
Spillkråka</t>
        </is>
      </c>
      <c r="W39">
        <f>HYPERLINK("https://klasma.github.io/Logging_0780/artfynd/A 26423-2026 artfynd.xlsx", "A 26423-2026")</f>
        <v/>
      </c>
      <c r="X39">
        <f>HYPERLINK("https://klasma.github.io/Logging_0780/kartor/A 26423-2026 karta.png", "A 26423-2026")</f>
        <v/>
      </c>
      <c r="Y39">
        <f>HYPERLINK("https://klasma.github.io/Logging_0780/kartor_geotiff/A 26423-2026 georefererad karta.tif", "A 26423-2026")</f>
        <v/>
      </c>
      <c r="AA39">
        <f>HYPERLINK("https://klasma.github.io/Logging_0780/klagomål/A 26423-2026 FSC-klagomål.docx", "A 26423-2026")</f>
        <v/>
      </c>
      <c r="AB39">
        <f>HYPERLINK("https://klasma.github.io/Logging_0780/klagomålsmail/A 26423-2026 FSC-klagomål mail.docx", "A 26423-2026")</f>
        <v/>
      </c>
      <c r="AC39">
        <f>HYPERLINK("https://klasma.github.io/Logging_0780/tillsyn/A 26423-2026 tillsynsbegäran.docx", "A 26423-2026")</f>
        <v/>
      </c>
      <c r="AD39">
        <f>HYPERLINK("https://klasma.github.io/Logging_0780/tillsynsmail/A 26423-2026 tillsynsbegäran mail.docx", "A 26423-2026")</f>
        <v/>
      </c>
      <c r="AE39">
        <f>HYPERLINK("https://klasma.github.io/Logging_0780/fåglar/A 26423-2026 prioriterade fågelarter.docx", "A 26423-2026")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46265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46265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46265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46265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46265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46265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46265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46265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46265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46265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46265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46265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46265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54112-2025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45964</v>
      </c>
      <c r="E53" s="1" t="n">
        <v>46265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Sångsvan</t>
        </is>
      </c>
      <c r="W53">
        <f>HYPERLINK("https://klasma.github.io/Logging_0780/artfynd/A 54112-2025 artfynd.xlsx", "A 54112-2025")</f>
        <v/>
      </c>
      <c r="X53">
        <f>HYPERLINK("https://klasma.github.io/Logging_0780/kartor/A 54112-2025 karta.png", "A 54112-2025")</f>
        <v/>
      </c>
      <c r="Y53">
        <f>HYPERLINK("https://klasma.github.io/Logging_0780/kartor_geotiff/A 54112-2025 georefererad karta.tif", "A 54112-2025")</f>
        <v/>
      </c>
      <c r="AA53">
        <f>HYPERLINK("https://klasma.github.io/Logging_0780/klagomål/A 54112-2025 FSC-klagomål.docx", "A 54112-2025")</f>
        <v/>
      </c>
      <c r="AB53">
        <f>HYPERLINK("https://klasma.github.io/Logging_0780/klagomålsmail/A 54112-2025 FSC-klagomål mail.docx", "A 54112-2025")</f>
        <v/>
      </c>
      <c r="AC53">
        <f>HYPERLINK("https://klasma.github.io/Logging_0780/tillsyn/A 54112-2025 tillsynsbegäran.docx", "A 54112-2025")</f>
        <v/>
      </c>
      <c r="AD53">
        <f>HYPERLINK("https://klasma.github.io/Logging_0780/tillsynsmail/A 54112-2025 tillsynsbegäran mail.docx", "A 54112-2025")</f>
        <v/>
      </c>
      <c r="AE53">
        <f>HYPERLINK("https://klasma.github.io/Logging_0780/fåglar/A 54112-2025 prioriterade fågelarter.docx", "A 54112-2025")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46265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46265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46265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56802-2025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46265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HYPERLINK("https://klasma.github.io/Logging_0780/artfynd/A 56802-2025 artfynd.xlsx", "A 56802-2025")</f>
        <v/>
      </c>
      <c r="X57">
        <f>HYPERLINK("https://klasma.github.io/Logging_0780/kartor/A 56802-2025 karta.png", "A 56802-2025")</f>
        <v/>
      </c>
      <c r="Y57">
        <f>HYPERLINK("https://klasma.github.io/Logging_0780/kartor_geotiff/A 56802-2025 georefererad karta.tif", "A 56802-2025")</f>
        <v/>
      </c>
      <c r="Z57">
        <f>HYPERLINK("https://klasma.github.io/Logging_0780/knärot/A 56802-2025 karta knärot.png", "A 56802-2025")</f>
        <v/>
      </c>
      <c r="AA57">
        <f>HYPERLINK("https://klasma.github.io/Logging_0780/klagomål/A 56802-2025 FSC-klagomål.docx", "A 56802-2025")</f>
        <v/>
      </c>
      <c r="AB57">
        <f>HYPERLINK("https://klasma.github.io/Logging_0780/klagomålsmail/A 56802-2025 FSC-klagomål mail.docx", "A 56802-2025")</f>
        <v/>
      </c>
      <c r="AC57">
        <f>HYPERLINK("https://klasma.github.io/Logging_0780/tillsyn/A 56802-2025 tillsynsbegäran.docx", "A 56802-2025")</f>
        <v/>
      </c>
      <c r="AD57">
        <f>HYPERLINK("https://klasma.github.io/Logging_0780/tillsynsmail/A 56802-2025 tillsynsbegäran mail.docx", "A 56802-2025")</f>
        <v/>
      </c>
    </row>
    <row r="58" ht="15" customHeight="1">
      <c r="A58" t="inlineStr">
        <is>
          <t>A 54410-2024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45617</v>
      </c>
      <c r="E58" s="1" t="n">
        <v>46265</v>
      </c>
      <c r="F58" t="inlineStr">
        <is>
          <t>KRONOBERGS LÄN</t>
        </is>
      </c>
      <c r="G58" t="inlineStr">
        <is>
          <t>VÄXJÖ</t>
        </is>
      </c>
      <c r="H58" t="inlineStr">
        <is>
          <t>Kommuner</t>
        </is>
      </c>
      <c r="I58" t="n">
        <v>7.2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groda</t>
        </is>
      </c>
      <c r="W58">
        <f>HYPERLINK("https://klasma.github.io/Logging_0780/artfynd/A 54410-2024 artfynd.xlsx", "A 54410-2024")</f>
        <v/>
      </c>
      <c r="X58">
        <f>HYPERLINK("https://klasma.github.io/Logging_0780/kartor/A 54410-2024 karta.png", "A 54410-2024")</f>
        <v/>
      </c>
      <c r="Y58">
        <f>HYPERLINK("https://klasma.github.io/Logging_0780/kartor_geotiff/A 54410-2024 georefererad karta.tif", "A 54410-2024")</f>
        <v/>
      </c>
      <c r="AA58">
        <f>HYPERLINK("https://klasma.github.io/Logging_0780/klagomål/A 54410-2024 FSC-klagomål.docx", "A 54410-2024")</f>
        <v/>
      </c>
      <c r="AB58">
        <f>HYPERLINK("https://klasma.github.io/Logging_0780/klagomålsmail/A 54410-2024 FSC-klagomål mail.docx", "A 54410-2024")</f>
        <v/>
      </c>
      <c r="AC58">
        <f>HYPERLINK("https://klasma.github.io/Logging_0780/tillsyn/A 54410-2024 tillsynsbegäran.docx", "A 54410-2024")</f>
        <v/>
      </c>
      <c r="AD58">
        <f>HYPERLINK("https://klasma.github.io/Logging_0780/tillsynsmail/A 54410-2024 tillsynsbegäran mail.docx", "A 54410-2024")</f>
        <v/>
      </c>
    </row>
    <row r="59" ht="15" customHeight="1">
      <c r="A59" t="inlineStr">
        <is>
          <t>A 51647-2024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45606</v>
      </c>
      <c r="E59" s="1" t="n">
        <v>46265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Granspira</t>
        </is>
      </c>
      <c r="W59">
        <f>HYPERLINK("https://klasma.github.io/Logging_0780/artfynd/A 51647-2024 artfynd.xlsx", "A 51647-2024")</f>
        <v/>
      </c>
      <c r="X59">
        <f>HYPERLINK("https://klasma.github.io/Logging_0780/kartor/A 51647-2024 karta.png", "A 51647-2024")</f>
        <v/>
      </c>
      <c r="Y59">
        <f>HYPERLINK("https://klasma.github.io/Logging_0780/kartor_geotiff/A 51647-2024 georefererad karta.tif", "A 51647-2024")</f>
        <v/>
      </c>
      <c r="AA59">
        <f>HYPERLINK("https://klasma.github.io/Logging_0780/klagomål/A 51647-2024 FSC-klagomål.docx", "A 51647-2024")</f>
        <v/>
      </c>
      <c r="AB59">
        <f>HYPERLINK("https://klasma.github.io/Logging_0780/klagomålsmail/A 51647-2024 FSC-klagomål mail.docx", "A 51647-2024")</f>
        <v/>
      </c>
      <c r="AC59">
        <f>HYPERLINK("https://klasma.github.io/Logging_0780/tillsyn/A 51647-2024 tillsynsbegäran.docx", "A 51647-2024")</f>
        <v/>
      </c>
      <c r="AD59">
        <f>HYPERLINK("https://klasma.github.io/Logging_0780/tillsynsmail/A 51647-2024 tillsynsbegäran mail.docx", "A 51647-2024")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46265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46265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60370-2024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46265</v>
      </c>
      <c r="F62" t="inlineStr">
        <is>
          <t>KRONOBERGS LÄN</t>
        </is>
      </c>
      <c r="G62" t="inlineStr">
        <is>
          <t>VÄXJÖ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HYPERLINK("https://klasma.github.io/Logging_0780/artfynd/A 60370-2024 artfynd.xlsx", "A 60370-2024")</f>
        <v/>
      </c>
      <c r="X62">
        <f>HYPERLINK("https://klasma.github.io/Logging_0780/kartor/A 60370-2024 karta.png", "A 60370-2024")</f>
        <v/>
      </c>
      <c r="Y62">
        <f>HYPERLINK("https://klasma.github.io/Logging_0780/kartor_geotiff/A 60370-2024 georefererad karta.tif", "A 60370-2024")</f>
        <v/>
      </c>
      <c r="AA62">
        <f>HYPERLINK("https://klasma.github.io/Logging_0780/klagomål/A 60370-2024 FSC-klagomål.docx", "A 60370-2024")</f>
        <v/>
      </c>
      <c r="AB62">
        <f>HYPERLINK("https://klasma.github.io/Logging_0780/klagomålsmail/A 60370-2024 FSC-klagomål mail.docx", "A 60370-2024")</f>
        <v/>
      </c>
      <c r="AC62">
        <f>HYPERLINK("https://klasma.github.io/Logging_0780/tillsyn/A 60370-2024 tillsynsbegäran.docx", "A 60370-2024")</f>
        <v/>
      </c>
      <c r="AD62">
        <f>HYPERLINK("https://klasma.github.io/Logging_0780/tillsynsmail/A 60370-2024 tillsynsbegäran mail.docx", "A 60370-2024")</f>
        <v/>
      </c>
    </row>
    <row r="63" ht="15" customHeight="1">
      <c r="A63" t="inlineStr">
        <is>
          <t>A 4380-2026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46265</v>
      </c>
      <c r="F63" t="inlineStr">
        <is>
          <t>KRONOBERGS LÄN</t>
        </is>
      </c>
      <c r="G63" t="inlineStr">
        <is>
          <t>VÄXJÖ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HYPERLINK("https://klasma.github.io/Logging_0780/artfynd/A 4380-2026 artfynd.xlsx", "A 4380-2026")</f>
        <v/>
      </c>
      <c r="X63">
        <f>HYPERLINK("https://klasma.github.io/Logging_0780/kartor/A 4380-2026 karta.png", "A 4380-2026")</f>
        <v/>
      </c>
      <c r="Y63">
        <f>HYPERLINK("https://klasma.github.io/Logging_0780/kartor_geotiff/A 4380-2026 georefererad karta.tif", "A 4380-2026")</f>
        <v/>
      </c>
      <c r="AA63">
        <f>HYPERLINK("https://klasma.github.io/Logging_0780/klagomål/A 4380-2026 FSC-klagomål.docx", "A 4380-2026")</f>
        <v/>
      </c>
      <c r="AB63">
        <f>HYPERLINK("https://klasma.github.io/Logging_0780/klagomålsmail/A 4380-2026 FSC-klagomål mail.docx", "A 4380-2026")</f>
        <v/>
      </c>
      <c r="AC63">
        <f>HYPERLINK("https://klasma.github.io/Logging_0780/tillsyn/A 4380-2026 tillsynsbegäran.docx", "A 4380-2026")</f>
        <v/>
      </c>
      <c r="AD63">
        <f>HYPERLINK("https://klasma.github.io/Logging_0780/tillsynsmail/A 4380-2026 tillsynsbegäran mail.docx", "A 4380-2026")</f>
        <v/>
      </c>
    </row>
    <row r="64" ht="15" customHeight="1">
      <c r="A64" t="inlineStr">
        <is>
          <t>A 19379-2024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46265</v>
      </c>
      <c r="F64" t="inlineStr">
        <is>
          <t>KRONOBERGS LÄN</t>
        </is>
      </c>
      <c r="G64" t="inlineStr">
        <is>
          <t>VÄXJÖ</t>
        </is>
      </c>
      <c r="H64" t="inlineStr">
        <is>
          <t>Kyrkan</t>
        </is>
      </c>
      <c r="I64" t="n">
        <v>9.4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Blåmossa</t>
        </is>
      </c>
      <c r="W64">
        <f>HYPERLINK("https://klasma.github.io/Logging_0780/artfynd/A 19379-2024 artfynd.xlsx", "A 19379-2024")</f>
        <v/>
      </c>
      <c r="X64">
        <f>HYPERLINK("https://klasma.github.io/Logging_0780/kartor/A 19379-2024 karta.png", "A 19379-2024")</f>
        <v/>
      </c>
      <c r="Y64">
        <f>HYPERLINK("https://klasma.github.io/Logging_0780/kartor_geotiff/A 19379-2024 georefererad karta.tif", "A 19379-2024")</f>
        <v/>
      </c>
      <c r="AA64">
        <f>HYPERLINK("https://klasma.github.io/Logging_0780/klagomål/A 19379-2024 FSC-klagomål.docx", "A 19379-2024")</f>
        <v/>
      </c>
      <c r="AB64">
        <f>HYPERLINK("https://klasma.github.io/Logging_0780/klagomålsmail/A 19379-2024 FSC-klagomål mail.docx", "A 19379-2024")</f>
        <v/>
      </c>
      <c r="AC64">
        <f>HYPERLINK("https://klasma.github.io/Logging_0780/tillsyn/A 19379-2024 tillsynsbegäran.docx", "A 19379-2024")</f>
        <v/>
      </c>
      <c r="AD64">
        <f>HYPERLINK("https://klasma.github.io/Logging_0780/tillsynsmail/A 19379-2024 tillsynsbegäran mail.docx", "A 19379-2024")</f>
        <v/>
      </c>
    </row>
    <row r="65" ht="15" customHeight="1">
      <c r="A65" t="inlineStr">
        <is>
          <t>A 63249-2023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46265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Gropticka</t>
        </is>
      </c>
      <c r="W65">
        <f>HYPERLINK("https://klasma.github.io/Logging_0780/artfynd/A 63249-2023 artfynd.xlsx", "A 63249-2023")</f>
        <v/>
      </c>
      <c r="X65">
        <f>HYPERLINK("https://klasma.github.io/Logging_0780/kartor/A 63249-2023 karta.png", "A 63249-2023")</f>
        <v/>
      </c>
      <c r="Y65">
        <f>HYPERLINK("https://klasma.github.io/Logging_0780/kartor_geotiff/A 63249-2023 georefererad karta.tif", "A 63249-2023")</f>
        <v/>
      </c>
      <c r="AA65">
        <f>HYPERLINK("https://klasma.github.io/Logging_0780/klagomål/A 63249-2023 FSC-klagomål.docx", "A 63249-2023")</f>
        <v/>
      </c>
      <c r="AB65">
        <f>HYPERLINK("https://klasma.github.io/Logging_0780/klagomålsmail/A 63249-2023 FSC-klagomål mail.docx", "A 63249-2023")</f>
        <v/>
      </c>
      <c r="AC65">
        <f>HYPERLINK("https://klasma.github.io/Logging_0780/tillsyn/A 63249-2023 tillsynsbegäran.docx", "A 63249-2023")</f>
        <v/>
      </c>
      <c r="AD65">
        <f>HYPERLINK("https://klasma.github.io/Logging_0780/tillsynsmail/A 63249-2023 tillsynsbegäran mail.docx", "A 63249-2023")</f>
        <v/>
      </c>
    </row>
    <row r="66" ht="15" customHeight="1">
      <c r="A66" t="inlineStr">
        <is>
          <t>A 64278-2023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46265</v>
      </c>
      <c r="F66" t="inlineStr">
        <is>
          <t>KRONOBERGS LÄN</t>
        </is>
      </c>
      <c r="G66" t="inlineStr">
        <is>
          <t>VÄXJÖ</t>
        </is>
      </c>
      <c r="I66" t="n">
        <v>0.4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HYPERLINK("https://klasma.github.io/Logging_0780/artfynd/A 64278-2023 artfynd.xlsx", "A 64278-2023")</f>
        <v/>
      </c>
      <c r="X66">
        <f>HYPERLINK("https://klasma.github.io/Logging_0780/kartor/A 64278-2023 karta.png", "A 64278-2023")</f>
        <v/>
      </c>
      <c r="Y66">
        <f>HYPERLINK("https://klasma.github.io/Logging_0780/kartor_geotiff/A 64278-2023 georefererad karta.tif", "A 64278-2023")</f>
        <v/>
      </c>
      <c r="AA66">
        <f>HYPERLINK("https://klasma.github.io/Logging_0780/klagomål/A 64278-2023 FSC-klagomål.docx", "A 64278-2023")</f>
        <v/>
      </c>
      <c r="AB66">
        <f>HYPERLINK("https://klasma.github.io/Logging_0780/klagomålsmail/A 64278-2023 FSC-klagomål mail.docx", "A 64278-2023")</f>
        <v/>
      </c>
      <c r="AC66">
        <f>HYPERLINK("https://klasma.github.io/Logging_0780/tillsyn/A 64278-2023 tillsynsbegäran.docx", "A 64278-2023")</f>
        <v/>
      </c>
      <c r="AD66">
        <f>HYPERLINK("https://klasma.github.io/Logging_0780/tillsynsmail/A 64278-2023 tillsynsbegäran mail.docx", "A 64278-2023")</f>
        <v/>
      </c>
    </row>
    <row r="67" ht="15" customHeight="1">
      <c r="A67" t="inlineStr">
        <is>
          <t>A 49086-2024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46265</v>
      </c>
      <c r="F67" t="inlineStr">
        <is>
          <t>KRONOBERGS LÄN</t>
        </is>
      </c>
      <c r="G67" t="inlineStr">
        <is>
          <t>VÄXJÖ</t>
        </is>
      </c>
      <c r="H67" t="inlineStr">
        <is>
          <t>Sveaskog</t>
        </is>
      </c>
      <c r="I67" t="n">
        <v>2.7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Röd glada</t>
        </is>
      </c>
      <c r="W67">
        <f>HYPERLINK("https://klasma.github.io/Logging_0780/artfynd/A 49086-2024 artfynd.xlsx", "A 49086-2024")</f>
        <v/>
      </c>
      <c r="X67">
        <f>HYPERLINK("https://klasma.github.io/Logging_0780/kartor/A 49086-2024 karta.png", "A 49086-2024")</f>
        <v/>
      </c>
      <c r="Y67">
        <f>HYPERLINK("https://klasma.github.io/Logging_0780/kartor_geotiff/A 49086-2024 georefererad karta.tif", "A 49086-2024")</f>
        <v/>
      </c>
      <c r="AA67">
        <f>HYPERLINK("https://klasma.github.io/Logging_0780/klagomål/A 49086-2024 FSC-klagomål.docx", "A 49086-2024")</f>
        <v/>
      </c>
      <c r="AB67">
        <f>HYPERLINK("https://klasma.github.io/Logging_0780/klagomålsmail/A 49086-2024 FSC-klagomål mail.docx", "A 49086-2024")</f>
        <v/>
      </c>
      <c r="AC67">
        <f>HYPERLINK("https://klasma.github.io/Logging_0780/tillsyn/A 49086-2024 tillsynsbegäran.docx", "A 49086-2024")</f>
        <v/>
      </c>
      <c r="AD67">
        <f>HYPERLINK("https://klasma.github.io/Logging_0780/tillsynsmail/A 49086-2024 tillsynsbegäran mail.docx", "A 49086-2024")</f>
        <v/>
      </c>
      <c r="AE67">
        <f>HYPERLINK("https://klasma.github.io/Logging_0780/fåglar/A 49086-2024 prioriterade fågelarter.docx", "A 49086-2024")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46265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46265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29290-2025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46265</v>
      </c>
      <c r="F70" t="inlineStr">
        <is>
          <t>KRONOBERGS LÄN</t>
        </is>
      </c>
      <c r="G70" t="inlineStr">
        <is>
          <t>VÄXJÖ</t>
        </is>
      </c>
      <c r="I70" t="n">
        <v>2.7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Plattlummer</t>
        </is>
      </c>
      <c r="W70">
        <f>HYPERLINK("https://klasma.github.io/Logging_0780/artfynd/A 29290-2025 artfynd.xlsx", "A 29290-2025")</f>
        <v/>
      </c>
      <c r="X70">
        <f>HYPERLINK("https://klasma.github.io/Logging_0780/kartor/A 29290-2025 karta.png", "A 29290-2025")</f>
        <v/>
      </c>
      <c r="Y70">
        <f>HYPERLINK("https://klasma.github.io/Logging_0780/kartor_geotiff/A 29290-2025 georefererad karta.tif", "A 29290-2025")</f>
        <v/>
      </c>
      <c r="AA70">
        <f>HYPERLINK("https://klasma.github.io/Logging_0780/klagomål/A 29290-2025 FSC-klagomål.docx", "A 29290-2025")</f>
        <v/>
      </c>
      <c r="AB70">
        <f>HYPERLINK("https://klasma.github.io/Logging_0780/klagomålsmail/A 29290-2025 FSC-klagomål mail.docx", "A 29290-2025")</f>
        <v/>
      </c>
      <c r="AC70">
        <f>HYPERLINK("https://klasma.github.io/Logging_0780/tillsyn/A 29290-2025 tillsynsbegäran.docx", "A 29290-2025")</f>
        <v/>
      </c>
      <c r="AD70">
        <f>HYPERLINK("https://klasma.github.io/Logging_0780/tillsynsmail/A 29290-2025 tillsynsbegäran mail.docx", "A 29290-2025")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46265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46265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46265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46265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46265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46265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49010-2024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46265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49010-2024 artfynd.xlsx", "A 49010-2024")</f>
        <v/>
      </c>
      <c r="X77">
        <f>HYPERLINK("https://klasma.github.io/Logging_0780/kartor/A 49010-2024 karta.png", "A 49010-2024")</f>
        <v/>
      </c>
      <c r="Y77">
        <f>HYPERLINK("https://klasma.github.io/Logging_0780/kartor_geotiff/A 49010-2024 georefererad karta.tif", "A 49010-2024")</f>
        <v/>
      </c>
      <c r="AA77">
        <f>HYPERLINK("https://klasma.github.io/Logging_0780/klagomål/A 49010-2024 FSC-klagomål.docx", "A 49010-2024")</f>
        <v/>
      </c>
      <c r="AB77">
        <f>HYPERLINK("https://klasma.github.io/Logging_0780/klagomålsmail/A 49010-2024 FSC-klagomål mail.docx", "A 49010-2024")</f>
        <v/>
      </c>
      <c r="AC77">
        <f>HYPERLINK("https://klasma.github.io/Logging_0780/tillsyn/A 49010-2024 tillsynsbegäran.docx", "A 49010-2024")</f>
        <v/>
      </c>
      <c r="AD77">
        <f>HYPERLINK("https://klasma.github.io/Logging_0780/tillsynsmail/A 49010-2024 tillsynsbegäran mail.docx", "A 49010-2024")</f>
        <v/>
      </c>
    </row>
    <row r="78" ht="15" customHeight="1">
      <c r="A78" t="inlineStr">
        <is>
          <t>A 49013-2024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46265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49013-2024 artfynd.xlsx", "A 49013-2024")</f>
        <v/>
      </c>
      <c r="X78">
        <f>HYPERLINK("https://klasma.github.io/Logging_0780/kartor/A 49013-2024 karta.png", "A 49013-2024")</f>
        <v/>
      </c>
      <c r="Y78">
        <f>HYPERLINK("https://klasma.github.io/Logging_0780/kartor_geotiff/A 49013-2024 georefererad karta.tif", "A 49013-2024")</f>
        <v/>
      </c>
      <c r="AA78">
        <f>HYPERLINK("https://klasma.github.io/Logging_0780/klagomål/A 49013-2024 FSC-klagomål.docx", "A 49013-2024")</f>
        <v/>
      </c>
      <c r="AB78">
        <f>HYPERLINK("https://klasma.github.io/Logging_0780/klagomålsmail/A 49013-2024 FSC-klagomål mail.docx", "A 49013-2024")</f>
        <v/>
      </c>
      <c r="AC78">
        <f>HYPERLINK("https://klasma.github.io/Logging_0780/tillsyn/A 49013-2024 tillsynsbegäran.docx", "A 49013-2024")</f>
        <v/>
      </c>
      <c r="AD78">
        <f>HYPERLINK("https://klasma.github.io/Logging_0780/tillsynsmail/A 49013-2024 tillsynsbegäran mail.docx", "A 49013-2024")</f>
        <v/>
      </c>
    </row>
    <row r="79" ht="15" customHeight="1">
      <c r="A79" t="inlineStr">
        <is>
          <t>A 23151-2026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46265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Hårklomossa</t>
        </is>
      </c>
      <c r="W79">
        <f>HYPERLINK("https://klasma.github.io/Logging_0780/artfynd/A 23151-2026 artfynd.xlsx", "A 23151-2026")</f>
        <v/>
      </c>
      <c r="X79">
        <f>HYPERLINK("https://klasma.github.io/Logging_0780/kartor/A 23151-2026 karta.png", "A 23151-2026")</f>
        <v/>
      </c>
      <c r="Y79">
        <f>HYPERLINK("https://klasma.github.io/Logging_0780/kartor_geotiff/A 23151-2026 georefererad karta.tif", "A 23151-2026")</f>
        <v/>
      </c>
      <c r="AA79">
        <f>HYPERLINK("https://klasma.github.io/Logging_0780/klagomål/A 23151-2026 FSC-klagomål.docx", "A 23151-2026")</f>
        <v/>
      </c>
      <c r="AB79">
        <f>HYPERLINK("https://klasma.github.io/Logging_0780/klagomålsmail/A 23151-2026 FSC-klagomål mail.docx", "A 23151-2026")</f>
        <v/>
      </c>
      <c r="AC79">
        <f>HYPERLINK("https://klasma.github.io/Logging_0780/tillsyn/A 23151-2026 tillsynsbegäran.docx", "A 23151-2026")</f>
        <v/>
      </c>
      <c r="AD79">
        <f>HYPERLINK("https://klasma.github.io/Logging_0780/tillsynsmail/A 23151-2026 tillsynsbegäran mail.docx", "A 23151-2026")</f>
        <v/>
      </c>
    </row>
    <row r="80" ht="15" customHeight="1">
      <c r="A80" t="inlineStr">
        <is>
          <t>A 23155-2026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46265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HYPERLINK("https://klasma.github.io/Logging_0780/artfynd/A 23155-2026 artfynd.xlsx", "A 23155-2026")</f>
        <v/>
      </c>
      <c r="X80">
        <f>HYPERLINK("https://klasma.github.io/Logging_0780/kartor/A 23155-2026 karta.png", "A 23155-2026")</f>
        <v/>
      </c>
      <c r="Y80">
        <f>HYPERLINK("https://klasma.github.io/Logging_0780/kartor_geotiff/A 23155-2026 georefererad karta.tif", "A 23155-2026")</f>
        <v/>
      </c>
      <c r="AA80">
        <f>HYPERLINK("https://klasma.github.io/Logging_0780/klagomål/A 23155-2026 FSC-klagomål.docx", "A 23155-2026")</f>
        <v/>
      </c>
      <c r="AB80">
        <f>HYPERLINK("https://klasma.github.io/Logging_0780/klagomålsmail/A 23155-2026 FSC-klagomål mail.docx", "A 23155-2026")</f>
        <v/>
      </c>
      <c r="AC80">
        <f>HYPERLINK("https://klasma.github.io/Logging_0780/tillsyn/A 23155-2026 tillsynsbegäran.docx", "A 23155-2026")</f>
        <v/>
      </c>
      <c r="AD80">
        <f>HYPERLINK("https://klasma.github.io/Logging_0780/tillsynsmail/A 23155-2026 tillsynsbegäran mail.docx", "A 23155-2026")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46265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29074-2026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46265</v>
      </c>
      <c r="F82" t="inlineStr">
        <is>
          <t>KRONOBERGS LÄN</t>
        </is>
      </c>
      <c r="G82" t="inlineStr">
        <is>
          <t>VÄXJÖ</t>
        </is>
      </c>
      <c r="I82" t="n">
        <v>5.5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HYPERLINK("https://klasma.github.io/Logging_0780/artfynd/A 29074-2026 artfynd.xlsx", "A 29074-2026")</f>
        <v/>
      </c>
      <c r="X82">
        <f>HYPERLINK("https://klasma.github.io/Logging_0780/kartor/A 29074-2026 karta.png", "A 29074-2026")</f>
        <v/>
      </c>
      <c r="Y82">
        <f>HYPERLINK("https://klasma.github.io/Logging_0780/kartor_geotiff/A 29074-2026 georefererad karta.tif", "A 29074-2026")</f>
        <v/>
      </c>
      <c r="AA82">
        <f>HYPERLINK("https://klasma.github.io/Logging_0780/klagomål/A 29074-2026 FSC-klagomål.docx", "A 29074-2026")</f>
        <v/>
      </c>
      <c r="AB82">
        <f>HYPERLINK("https://klasma.github.io/Logging_0780/klagomålsmail/A 29074-2026 FSC-klagomål mail.docx", "A 29074-2026")</f>
        <v/>
      </c>
      <c r="AC82">
        <f>HYPERLINK("https://klasma.github.io/Logging_0780/tillsyn/A 29074-2026 tillsynsbegäran.docx", "A 29074-2026")</f>
        <v/>
      </c>
      <c r="AD82">
        <f>HYPERLINK("https://klasma.github.io/Logging_0780/tillsynsmail/A 29074-2026 tillsynsbegäran mail.docx", "A 29074-2026")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46265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46265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46265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46265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46265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46265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46265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46265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46265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46265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46265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46265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46265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46265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46265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46265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46265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46265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46265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44438</v>
      </c>
      <c r="E102" s="1" t="n">
        <v>46265</v>
      </c>
      <c r="F102" t="inlineStr">
        <is>
          <t>KRONOBERGS LÄN</t>
        </is>
      </c>
      <c r="G102" t="inlineStr">
        <is>
          <t>VÄXJÖ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46842-2021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46265</v>
      </c>
      <c r="F103" t="inlineStr">
        <is>
          <t>KRONOBERGS LÄN</t>
        </is>
      </c>
      <c r="G103" t="inlineStr">
        <is>
          <t>VÄXJÖ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46265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46265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46265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46265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46265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46265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46265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46265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46265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46265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46265</v>
      </c>
      <c r="F114" t="inlineStr">
        <is>
          <t>KRONOBERGS LÄN</t>
        </is>
      </c>
      <c r="G114" t="inlineStr">
        <is>
          <t>VÄXJÖ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46265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46265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46265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4547-2022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44590</v>
      </c>
      <c r="E118" s="1" t="n">
        <v>46265</v>
      </c>
      <c r="F118" t="inlineStr">
        <is>
          <t>KRONOBERGS LÄN</t>
        </is>
      </c>
      <c r="G118" t="inlineStr">
        <is>
          <t>VÄXJÖ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46265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46265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46265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46265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46265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46265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46265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46265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46265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46265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46265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46265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46265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46265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46265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46265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46265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46265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46265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46265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46265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46265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46265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46265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44470</v>
      </c>
      <c r="E143" s="1" t="n">
        <v>46265</v>
      </c>
      <c r="F143" t="inlineStr">
        <is>
          <t>KRONOBERGS LÄN</t>
        </is>
      </c>
      <c r="G143" t="inlineStr">
        <is>
          <t>VÄXJÖ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44746</v>
      </c>
      <c r="E144" s="1" t="n">
        <v>46265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46265</v>
      </c>
      <c r="F145" t="inlineStr">
        <is>
          <t>KRONOBERGS LÄN</t>
        </is>
      </c>
      <c r="G145" t="inlineStr">
        <is>
          <t>VÄXJÖ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46265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46265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44610</v>
      </c>
      <c r="E148" s="1" t="n">
        <v>46265</v>
      </c>
      <c r="F148" t="inlineStr">
        <is>
          <t>KRONOBERGS LÄN</t>
        </is>
      </c>
      <c r="G148" t="inlineStr">
        <is>
          <t>VÄXJÖ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46265</v>
      </c>
      <c r="F149" t="inlineStr">
        <is>
          <t>KRONOBERGS LÄN</t>
        </is>
      </c>
      <c r="G149" t="inlineStr">
        <is>
          <t>VÄXJÖ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46265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46265</v>
      </c>
      <c r="F151" t="inlineStr">
        <is>
          <t>KRONOBERGS LÄN</t>
        </is>
      </c>
      <c r="G151" t="inlineStr">
        <is>
          <t>VÄXJÖ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46265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46265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44726</v>
      </c>
      <c r="E154" s="1" t="n">
        <v>46265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53282-2021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46265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73428-2021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46265</v>
      </c>
      <c r="F156" t="inlineStr">
        <is>
          <t>KRONOBERGS LÄN</t>
        </is>
      </c>
      <c r="G156" t="inlineStr">
        <is>
          <t>VÄXJÖ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46265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46265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46265</v>
      </c>
      <c r="F159" t="inlineStr">
        <is>
          <t>KRONOBERGS LÄN</t>
        </is>
      </c>
      <c r="G159" t="inlineStr">
        <is>
          <t>VÄXJÖ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46265</v>
      </c>
      <c r="F160" t="inlineStr">
        <is>
          <t>KRONOBERGS LÄN</t>
        </is>
      </c>
      <c r="G160" t="inlineStr">
        <is>
          <t>VÄXJÖ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66862-2021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44522</v>
      </c>
      <c r="E161" s="1" t="n">
        <v>46265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46265</v>
      </c>
      <c r="F162" t="inlineStr">
        <is>
          <t>KRONOBERGS LÄN</t>
        </is>
      </c>
      <c r="G162" t="inlineStr">
        <is>
          <t>VÄXJÖ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46265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46265</v>
      </c>
      <c r="F164" t="inlineStr">
        <is>
          <t>KRONOBERGS LÄN</t>
        </is>
      </c>
      <c r="G164" t="inlineStr">
        <is>
          <t>VÄXJÖ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46265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46265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46265</v>
      </c>
      <c r="F167" t="inlineStr">
        <is>
          <t>KRONOBERGS LÄN</t>
        </is>
      </c>
      <c r="G167" t="inlineStr">
        <is>
          <t>VÄXJÖ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46265</v>
      </c>
      <c r="F168" t="inlineStr">
        <is>
          <t>KRONOBERGS LÄN</t>
        </is>
      </c>
      <c r="G168" t="inlineStr">
        <is>
          <t>VÄXJÖ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44573</v>
      </c>
      <c r="E169" s="1" t="n">
        <v>46265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46265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46265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46265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46265</v>
      </c>
      <c r="F173" t="inlineStr">
        <is>
          <t>KRONOBERGS LÄN</t>
        </is>
      </c>
      <c r="G173" t="inlineStr">
        <is>
          <t>VÄXJÖ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46265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46265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46265</v>
      </c>
      <c r="F176" t="inlineStr">
        <is>
          <t>KRONOBERGS LÄN</t>
        </is>
      </c>
      <c r="G176" t="inlineStr">
        <is>
          <t>VÄXJÖ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46265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46265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46265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46265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44508</v>
      </c>
      <c r="E181" s="1" t="n">
        <v>46265</v>
      </c>
      <c r="F181" t="inlineStr">
        <is>
          <t>KRONOBERGS LÄN</t>
        </is>
      </c>
      <c r="G181" t="inlineStr">
        <is>
          <t>VÄXJÖ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44574</v>
      </c>
      <c r="E182" s="1" t="n">
        <v>46265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46265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46265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46265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46265</v>
      </c>
      <c r="F186" t="inlineStr">
        <is>
          <t>KRONOBERGS LÄN</t>
        </is>
      </c>
      <c r="G186" t="inlineStr">
        <is>
          <t>VÄXJÖ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46265</v>
      </c>
      <c r="F187" t="inlineStr">
        <is>
          <t>KRONOBERGS LÄN</t>
        </is>
      </c>
      <c r="G187" t="inlineStr">
        <is>
          <t>VÄXJÖ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44603</v>
      </c>
      <c r="E188" s="1" t="n">
        <v>46265</v>
      </c>
      <c r="F188" t="inlineStr">
        <is>
          <t>KRONOBERGS LÄN</t>
        </is>
      </c>
      <c r="G188" t="inlineStr">
        <is>
          <t>VÄXJÖ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46265</v>
      </c>
      <c r="F189" t="inlineStr">
        <is>
          <t>KRONOBERGS LÄN</t>
        </is>
      </c>
      <c r="G189" t="inlineStr">
        <is>
          <t>VÄXJÖ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46265</v>
      </c>
      <c r="F190" t="inlineStr">
        <is>
          <t>KRONOBERGS LÄN</t>
        </is>
      </c>
      <c r="G190" t="inlineStr">
        <is>
          <t>VÄXJÖ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74489-2021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44560</v>
      </c>
      <c r="E191" s="1" t="n">
        <v>46265</v>
      </c>
      <c r="F191" t="inlineStr">
        <is>
          <t>KRONOBERGS LÄN</t>
        </is>
      </c>
      <c r="G191" t="inlineStr">
        <is>
          <t>VÄXJÖ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44474</v>
      </c>
      <c r="E192" s="1" t="n">
        <v>46265</v>
      </c>
      <c r="F192" t="inlineStr">
        <is>
          <t>KRONOBERGS LÄN</t>
        </is>
      </c>
      <c r="G192" t="inlineStr">
        <is>
          <t>VÄXJÖ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46265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46265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46265</v>
      </c>
      <c r="F195" t="inlineStr">
        <is>
          <t>KRONOBERGS LÄN</t>
        </is>
      </c>
      <c r="G195" t="inlineStr">
        <is>
          <t>VÄXJÖ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46265</v>
      </c>
      <c r="F196" t="inlineStr">
        <is>
          <t>KRONOBERGS LÄN</t>
        </is>
      </c>
      <c r="G196" t="inlineStr">
        <is>
          <t>VÄXJÖ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44814</v>
      </c>
      <c r="E197" s="1" t="n">
        <v>46265</v>
      </c>
      <c r="F197" t="inlineStr">
        <is>
          <t>KRONOBERGS LÄN</t>
        </is>
      </c>
      <c r="G197" t="inlineStr">
        <is>
          <t>VÄXJÖ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44814</v>
      </c>
      <c r="E198" s="1" t="n">
        <v>46265</v>
      </c>
      <c r="F198" t="inlineStr">
        <is>
          <t>KRONOBERGS LÄN</t>
        </is>
      </c>
      <c r="G198" t="inlineStr">
        <is>
          <t>VÄXJÖ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46265</v>
      </c>
      <c r="F199" t="inlineStr">
        <is>
          <t>KRONOBERGS LÄN</t>
        </is>
      </c>
      <c r="G199" t="inlineStr">
        <is>
          <t>VÄXJÖ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46265</v>
      </c>
      <c r="F200" t="inlineStr">
        <is>
          <t>KRONOBERGS LÄN</t>
        </is>
      </c>
      <c r="G200" t="inlineStr">
        <is>
          <t>VÄXJÖ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46265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46265</v>
      </c>
      <c r="F202" t="inlineStr">
        <is>
          <t>KRONOBERGS LÄN</t>
        </is>
      </c>
      <c r="G202" t="inlineStr">
        <is>
          <t>VÄXJÖ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44741</v>
      </c>
      <c r="E203" s="1" t="n">
        <v>46265</v>
      </c>
      <c r="F203" t="inlineStr">
        <is>
          <t>KRONOBERGS LÄN</t>
        </is>
      </c>
      <c r="G203" t="inlineStr">
        <is>
          <t>VÄXJÖ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46265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46265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46265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46265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46265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46265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46265</v>
      </c>
      <c r="F210" t="inlineStr">
        <is>
          <t>KRONOBERGS LÄN</t>
        </is>
      </c>
      <c r="G210" t="inlineStr">
        <is>
          <t>VÄXJÖ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45780</v>
      </c>
      <c r="E211" s="1" t="n">
        <v>46265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45780</v>
      </c>
      <c r="E212" s="1" t="n">
        <v>46265</v>
      </c>
      <c r="F212" t="inlineStr">
        <is>
          <t>KRONOBERGS LÄN</t>
        </is>
      </c>
      <c r="G212" t="inlineStr">
        <is>
          <t>VÄXJÖ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46265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46265</v>
      </c>
      <c r="F214" t="inlineStr">
        <is>
          <t>KRONOBERGS LÄN</t>
        </is>
      </c>
      <c r="G214" t="inlineStr">
        <is>
          <t>VÄXJÖ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46265</v>
      </c>
      <c r="F215" t="inlineStr">
        <is>
          <t>KRONOBERGS LÄN</t>
        </is>
      </c>
      <c r="G215" t="inlineStr">
        <is>
          <t>VÄXJÖ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46265</v>
      </c>
      <c r="F216" t="inlineStr">
        <is>
          <t>KRONOBERGS LÄN</t>
        </is>
      </c>
      <c r="G216" t="inlineStr">
        <is>
          <t>VÄXJÖ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58060-2021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46265</v>
      </c>
      <c r="F217" t="inlineStr">
        <is>
          <t>KRONOBERGS LÄN</t>
        </is>
      </c>
      <c r="G217" t="inlineStr">
        <is>
          <t>VÄXJÖ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46265</v>
      </c>
      <c r="F218" t="inlineStr">
        <is>
          <t>KRONOBERGS LÄN</t>
        </is>
      </c>
      <c r="G218" t="inlineStr">
        <is>
          <t>VÄXJÖ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64292-2023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46265</v>
      </c>
      <c r="F219" t="inlineStr">
        <is>
          <t>KRONOBERGS LÄN</t>
        </is>
      </c>
      <c r="G219" t="inlineStr">
        <is>
          <t>VÄXJÖ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45783</v>
      </c>
      <c r="E220" s="1" t="n">
        <v>46265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46265</v>
      </c>
      <c r="F221" t="inlineStr">
        <is>
          <t>KRONOBERGS LÄN</t>
        </is>
      </c>
      <c r="G221" t="inlineStr">
        <is>
          <t>VÄXJÖ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44880</v>
      </c>
      <c r="E222" s="1" t="n">
        <v>46265</v>
      </c>
      <c r="F222" t="inlineStr">
        <is>
          <t>KRONOBERGS LÄN</t>
        </is>
      </c>
      <c r="G222" t="inlineStr">
        <is>
          <t>VÄXJÖ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46265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46265</v>
      </c>
      <c r="F224" t="inlineStr">
        <is>
          <t>KRONOBERGS LÄN</t>
        </is>
      </c>
      <c r="G224" t="inlineStr">
        <is>
          <t>VÄXJÖ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64603-2023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45281</v>
      </c>
      <c r="E225" s="1" t="n">
        <v>46265</v>
      </c>
      <c r="F225" t="inlineStr">
        <is>
          <t>KRONOBERGS LÄN</t>
        </is>
      </c>
      <c r="G225" t="inlineStr">
        <is>
          <t>VÄXJÖ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46265</v>
      </c>
      <c r="F226" t="inlineStr">
        <is>
          <t>KRONOBERGS LÄN</t>
        </is>
      </c>
      <c r="G226" t="inlineStr">
        <is>
          <t>VÄXJÖ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46265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46265</v>
      </c>
      <c r="F228" t="inlineStr">
        <is>
          <t>KRONOBERGS LÄN</t>
        </is>
      </c>
      <c r="G228" t="inlineStr">
        <is>
          <t>VÄXJÖ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28731-2024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46265</v>
      </c>
      <c r="F229" t="inlineStr">
        <is>
          <t>KRONOBERGS LÄN</t>
        </is>
      </c>
      <c r="G229" t="inlineStr">
        <is>
          <t>VÄXJÖ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45302</v>
      </c>
      <c r="E230" s="1" t="n">
        <v>46265</v>
      </c>
      <c r="F230" t="inlineStr">
        <is>
          <t>KRONOBERGS LÄN</t>
        </is>
      </c>
      <c r="G230" t="inlineStr">
        <is>
          <t>VÄXJÖ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46265</v>
      </c>
      <c r="F231" t="inlineStr">
        <is>
          <t>KRONOBERGS LÄN</t>
        </is>
      </c>
      <c r="G231" t="inlineStr">
        <is>
          <t>VÄXJÖ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46265</v>
      </c>
      <c r="F232" t="inlineStr">
        <is>
          <t>KRONOBERGS LÄN</t>
        </is>
      </c>
      <c r="G232" t="inlineStr">
        <is>
          <t>VÄXJÖ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32246-2022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44781</v>
      </c>
      <c r="E233" s="1" t="n">
        <v>46265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46265</v>
      </c>
      <c r="F234" t="inlineStr">
        <is>
          <t>KRONOBERGS LÄN</t>
        </is>
      </c>
      <c r="G234" t="inlineStr">
        <is>
          <t>VÄXJÖ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46265</v>
      </c>
      <c r="F235" t="inlineStr">
        <is>
          <t>KRONOBERGS LÄN</t>
        </is>
      </c>
      <c r="G235" t="inlineStr">
        <is>
          <t>VÄXJÖ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46265</v>
      </c>
      <c r="F236" t="inlineStr">
        <is>
          <t>KRONOBERGS LÄN</t>
        </is>
      </c>
      <c r="G236" t="inlineStr">
        <is>
          <t>VÄXJÖ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46265</v>
      </c>
      <c r="F237" t="inlineStr">
        <is>
          <t>KRONOBERGS LÄN</t>
        </is>
      </c>
      <c r="G237" t="inlineStr">
        <is>
          <t>VÄXJÖ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45108</v>
      </c>
      <c r="E238" s="1" t="n">
        <v>46265</v>
      </c>
      <c r="F238" t="inlineStr">
        <is>
          <t>KRONOBERGS LÄN</t>
        </is>
      </c>
      <c r="G238" t="inlineStr">
        <is>
          <t>VÄXJÖ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46265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46265</v>
      </c>
      <c r="F240" t="inlineStr">
        <is>
          <t>KRONOBERGS LÄN</t>
        </is>
      </c>
      <c r="G240" t="inlineStr">
        <is>
          <t>VÄXJÖ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46265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46265</v>
      </c>
      <c r="F242" t="inlineStr">
        <is>
          <t>KRONOBERGS LÄN</t>
        </is>
      </c>
      <c r="G242" t="inlineStr">
        <is>
          <t>VÄXJÖ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46265</v>
      </c>
      <c r="F243" t="inlineStr">
        <is>
          <t>KRONOBERGS LÄN</t>
        </is>
      </c>
      <c r="G243" t="inlineStr">
        <is>
          <t>VÄXJÖ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46265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46265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46265</v>
      </c>
      <c r="F246" t="inlineStr">
        <is>
          <t>KRONOBERGS LÄN</t>
        </is>
      </c>
      <c r="G246" t="inlineStr">
        <is>
          <t>VÄXJÖ</t>
        </is>
      </c>
      <c r="H246" t="inlineStr">
        <is>
          <t>Övriga Aktiebolag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46265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46265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44986</v>
      </c>
      <c r="E249" s="1" t="n">
        <v>46265</v>
      </c>
      <c r="F249" t="inlineStr">
        <is>
          <t>KRONOBERGS LÄN</t>
        </is>
      </c>
      <c r="G249" t="inlineStr">
        <is>
          <t>VÄXJÖ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56864-2022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44894</v>
      </c>
      <c r="E250" s="1" t="n">
        <v>46265</v>
      </c>
      <c r="F250" t="inlineStr">
        <is>
          <t>KRONOBERGS LÄN</t>
        </is>
      </c>
      <c r="G250" t="inlineStr">
        <is>
          <t>VÄXJÖ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46265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45716</v>
      </c>
      <c r="E252" s="1" t="n">
        <v>46265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46265</v>
      </c>
      <c r="F253" t="inlineStr">
        <is>
          <t>KRONOBERGS LÄN</t>
        </is>
      </c>
      <c r="G253" t="inlineStr">
        <is>
          <t>VÄXJÖ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45317</v>
      </c>
      <c r="E254" s="1" t="n">
        <v>46265</v>
      </c>
      <c r="F254" t="inlineStr">
        <is>
          <t>KRONOBERGS LÄN</t>
        </is>
      </c>
      <c r="G254" t="inlineStr">
        <is>
          <t>VÄXJÖ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45236</v>
      </c>
      <c r="E255" s="1" t="n">
        <v>46265</v>
      </c>
      <c r="F255" t="inlineStr">
        <is>
          <t>KRONOBERGS LÄN</t>
        </is>
      </c>
      <c r="G255" t="inlineStr">
        <is>
          <t>VÄXJÖ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45112</v>
      </c>
      <c r="E256" s="1" t="n">
        <v>46265</v>
      </c>
      <c r="F256" t="inlineStr">
        <is>
          <t>KRONOBERGS LÄN</t>
        </is>
      </c>
      <c r="G256" t="inlineStr">
        <is>
          <t>VÄXJÖ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46265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72857-2021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44547</v>
      </c>
      <c r="E258" s="1" t="n">
        <v>46265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46265</v>
      </c>
      <c r="F259" t="inlineStr">
        <is>
          <t>KRONOBERGS LÄN</t>
        </is>
      </c>
      <c r="G259" t="inlineStr">
        <is>
          <t>VÄXJÖ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46265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46265</v>
      </c>
      <c r="F261" t="inlineStr">
        <is>
          <t>KRONOBERGS LÄN</t>
        </is>
      </c>
      <c r="G261" t="inlineStr">
        <is>
          <t>VÄXJÖ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46265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59066-2022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44904</v>
      </c>
      <c r="E263" s="1" t="n">
        <v>46265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44963</v>
      </c>
      <c r="E264" s="1" t="n">
        <v>46265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44963</v>
      </c>
      <c r="E265" s="1" t="n">
        <v>46265</v>
      </c>
      <c r="F265" t="inlineStr">
        <is>
          <t>KRONOBERGS LÄN</t>
        </is>
      </c>
      <c r="G265" t="inlineStr">
        <is>
          <t>VÄXJÖ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44963</v>
      </c>
      <c r="E266" s="1" t="n">
        <v>46265</v>
      </c>
      <c r="F266" t="inlineStr">
        <is>
          <t>KRONOBERGS LÄN</t>
        </is>
      </c>
      <c r="G266" t="inlineStr">
        <is>
          <t>VÄXJÖ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45856</v>
      </c>
      <c r="E267" s="1" t="n">
        <v>46265</v>
      </c>
      <c r="F267" t="inlineStr">
        <is>
          <t>KRONOBERGS LÄN</t>
        </is>
      </c>
      <c r="G267" t="inlineStr">
        <is>
          <t>VÄXJÖ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45468</v>
      </c>
      <c r="E268" s="1" t="n">
        <v>46265</v>
      </c>
      <c r="F268" t="inlineStr">
        <is>
          <t>KRONOBERGS LÄN</t>
        </is>
      </c>
      <c r="G268" t="inlineStr">
        <is>
          <t>VÄXJÖ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46265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45127</v>
      </c>
      <c r="E270" s="1" t="n">
        <v>46265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46265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45551</v>
      </c>
      <c r="E272" s="1" t="n">
        <v>46265</v>
      </c>
      <c r="F272" t="inlineStr">
        <is>
          <t>KRONOBERGS LÄN</t>
        </is>
      </c>
      <c r="G272" t="inlineStr">
        <is>
          <t>VÄXJÖ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44573</v>
      </c>
      <c r="E273" s="1" t="n">
        <v>46265</v>
      </c>
      <c r="F273" t="inlineStr">
        <is>
          <t>KRONOBERGS LÄN</t>
        </is>
      </c>
      <c r="G273" t="inlineStr">
        <is>
          <t>VÄXJÖ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46265</v>
      </c>
      <c r="F274" t="inlineStr">
        <is>
          <t>KRONOBERGS LÄN</t>
        </is>
      </c>
      <c r="G274" t="inlineStr">
        <is>
          <t>VÄXJÖ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46265</v>
      </c>
      <c r="F275" t="inlineStr">
        <is>
          <t>KRONOBERGS LÄN</t>
        </is>
      </c>
      <c r="G275" t="inlineStr">
        <is>
          <t>VÄXJÖ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44854</v>
      </c>
      <c r="E276" s="1" t="n">
        <v>46265</v>
      </c>
      <c r="F276" t="inlineStr">
        <is>
          <t>KRONOBERGS LÄN</t>
        </is>
      </c>
      <c r="G276" t="inlineStr">
        <is>
          <t>VÄXJÖ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46265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46265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46265</v>
      </c>
      <c r="F279" t="inlineStr">
        <is>
          <t>KRONOBERGS LÄN</t>
        </is>
      </c>
      <c r="G279" t="inlineStr">
        <is>
          <t>VÄXJÖ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46265</v>
      </c>
      <c r="F280" t="inlineStr">
        <is>
          <t>KRONOBERGS LÄN</t>
        </is>
      </c>
      <c r="G280" t="inlineStr">
        <is>
          <t>VÄXJÖ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46265</v>
      </c>
      <c r="F281" t="inlineStr">
        <is>
          <t>KRONOBERGS LÄN</t>
        </is>
      </c>
      <c r="G281" t="inlineStr">
        <is>
          <t>VÄXJÖ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45111</v>
      </c>
      <c r="E282" s="1" t="n">
        <v>46265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46265</v>
      </c>
      <c r="F283" t="inlineStr">
        <is>
          <t>KRONOBERGS LÄN</t>
        </is>
      </c>
      <c r="G283" t="inlineStr">
        <is>
          <t>VÄXJÖ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46265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46265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46265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46265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46265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46265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45294</v>
      </c>
      <c r="E290" s="1" t="n">
        <v>46265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46265</v>
      </c>
      <c r="F291" t="inlineStr">
        <is>
          <t>KRONOBERGS LÄN</t>
        </is>
      </c>
      <c r="G291" t="inlineStr">
        <is>
          <t>VÄXJÖ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45342</v>
      </c>
      <c r="E292" s="1" t="n">
        <v>46265</v>
      </c>
      <c r="F292" t="inlineStr">
        <is>
          <t>KRONOBERGS LÄN</t>
        </is>
      </c>
      <c r="G292" t="inlineStr">
        <is>
          <t>VÄXJÖ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45330</v>
      </c>
      <c r="E293" s="1" t="n">
        <v>46265</v>
      </c>
      <c r="F293" t="inlineStr">
        <is>
          <t>KRONOBERGS LÄN</t>
        </is>
      </c>
      <c r="G293" t="inlineStr">
        <is>
          <t>VÄXJÖ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44950</v>
      </c>
      <c r="E294" s="1" t="n">
        <v>46265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46265</v>
      </c>
      <c r="F295" t="inlineStr">
        <is>
          <t>KRONOBERGS LÄN</t>
        </is>
      </c>
      <c r="G295" t="inlineStr">
        <is>
          <t>VÄXJÖ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46265</v>
      </c>
      <c r="F296" t="inlineStr">
        <is>
          <t>KRONOBERGS LÄN</t>
        </is>
      </c>
      <c r="G296" t="inlineStr">
        <is>
          <t>VÄXJÖ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46265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72429-2021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44545</v>
      </c>
      <c r="E298" s="1" t="n">
        <v>46265</v>
      </c>
      <c r="F298" t="inlineStr">
        <is>
          <t>KRONOBERGS LÄN</t>
        </is>
      </c>
      <c r="G298" t="inlineStr">
        <is>
          <t>VÄXJÖ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46265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46265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45124</v>
      </c>
      <c r="E301" s="1" t="n">
        <v>46265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46265</v>
      </c>
      <c r="F302" t="inlineStr">
        <is>
          <t>KRONOBERGS LÄN</t>
        </is>
      </c>
      <c r="G302" t="inlineStr">
        <is>
          <t>VÄXJÖ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53687-2022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46265</v>
      </c>
      <c r="F303" t="inlineStr">
        <is>
          <t>KRONOBERGS LÄN</t>
        </is>
      </c>
      <c r="G303" t="inlineStr">
        <is>
          <t>VÄXJÖ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44922</v>
      </c>
      <c r="E304" s="1" t="n">
        <v>46265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45787</v>
      </c>
      <c r="E305" s="1" t="n">
        <v>46265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46265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46265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45916</v>
      </c>
      <c r="E308" s="1" t="n">
        <v>46265</v>
      </c>
      <c r="F308" t="inlineStr">
        <is>
          <t>KRONOBERGS LÄN</t>
        </is>
      </c>
      <c r="G308" t="inlineStr">
        <is>
          <t>VÄXJÖ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45540</v>
      </c>
      <c r="E309" s="1" t="n">
        <v>46265</v>
      </c>
      <c r="F309" t="inlineStr">
        <is>
          <t>KRONOBERGS LÄN</t>
        </is>
      </c>
      <c r="G309" t="inlineStr">
        <is>
          <t>VÄXJÖ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70676-2021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44537</v>
      </c>
      <c r="E310" s="1" t="n">
        <v>46265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46265</v>
      </c>
      <c r="F311" t="inlineStr">
        <is>
          <t>KRONOBERGS LÄN</t>
        </is>
      </c>
      <c r="G311" t="inlineStr">
        <is>
          <t>VÄXJÖ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46265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44882-2025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45918</v>
      </c>
      <c r="E313" s="1" t="n">
        <v>46265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45918</v>
      </c>
      <c r="E314" s="1" t="n">
        <v>46265</v>
      </c>
      <c r="F314" t="inlineStr">
        <is>
          <t>KRONOBERGS LÄN</t>
        </is>
      </c>
      <c r="G314" t="inlineStr">
        <is>
          <t>VÄXJÖ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46265</v>
      </c>
      <c r="F315" t="inlineStr">
        <is>
          <t>KRONOBERGS LÄN</t>
        </is>
      </c>
      <c r="G315" t="inlineStr">
        <is>
          <t>VÄXJÖ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46265</v>
      </c>
      <c r="F316" t="inlineStr">
        <is>
          <t>KRONOBERGS LÄN</t>
        </is>
      </c>
      <c r="G316" t="inlineStr">
        <is>
          <t>VÄXJÖ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46265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46265</v>
      </c>
      <c r="F318" t="inlineStr">
        <is>
          <t>KRONOBERGS LÄN</t>
        </is>
      </c>
      <c r="G318" t="inlineStr">
        <is>
          <t>VÄXJÖ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46265</v>
      </c>
      <c r="F319" t="inlineStr">
        <is>
          <t>KRONOBERGS LÄN</t>
        </is>
      </c>
      <c r="G319" t="inlineStr">
        <is>
          <t>VÄXJÖ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46265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46265</v>
      </c>
      <c r="F321" t="inlineStr">
        <is>
          <t>KRONOBERGS LÄN</t>
        </is>
      </c>
      <c r="G321" t="inlineStr">
        <is>
          <t>VÄXJÖ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46265</v>
      </c>
      <c r="F322" t="inlineStr">
        <is>
          <t>KRONOBERGS LÄN</t>
        </is>
      </c>
      <c r="G322" t="inlineStr">
        <is>
          <t>VÄXJÖ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57514-2025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46265</v>
      </c>
      <c r="F323" t="inlineStr">
        <is>
          <t>KRONOBERGS LÄN</t>
        </is>
      </c>
      <c r="G323" t="inlineStr">
        <is>
          <t>VÄXJÖ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44824</v>
      </c>
      <c r="E324" s="1" t="n">
        <v>46265</v>
      </c>
      <c r="F324" t="inlineStr">
        <is>
          <t>KRONOBERGS LÄN</t>
        </is>
      </c>
      <c r="G324" t="inlineStr">
        <is>
          <t>VÄXJÖ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46265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45803</v>
      </c>
      <c r="E326" s="1" t="n">
        <v>46265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26072-2025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45805</v>
      </c>
      <c r="E327" s="1" t="n">
        <v>46265</v>
      </c>
      <c r="F327" t="inlineStr">
        <is>
          <t>KRONOBERGS LÄN</t>
        </is>
      </c>
      <c r="G327" t="inlineStr">
        <is>
          <t>VÄXJÖ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46265</v>
      </c>
      <c r="F328" t="inlineStr">
        <is>
          <t>KRONOBERGS LÄN</t>
        </is>
      </c>
      <c r="G328" t="inlineStr">
        <is>
          <t>VÄXJÖ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46265</v>
      </c>
      <c r="F329" t="inlineStr">
        <is>
          <t>KRONOBERGS LÄN</t>
        </is>
      </c>
      <c r="G329" t="inlineStr">
        <is>
          <t>VÄXJÖ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45447</v>
      </c>
      <c r="E330" s="1" t="n">
        <v>46265</v>
      </c>
      <c r="F330" t="inlineStr">
        <is>
          <t>KRONOBERGS LÄN</t>
        </is>
      </c>
      <c r="G330" t="inlineStr">
        <is>
          <t>VÄXJÖ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44737-2023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46265</v>
      </c>
      <c r="F331" t="inlineStr">
        <is>
          <t>KRONOBERGS LÄN</t>
        </is>
      </c>
      <c r="G331" t="inlineStr">
        <is>
          <t>VÄXJÖ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45573</v>
      </c>
      <c r="E332" s="1" t="n">
        <v>46265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46265</v>
      </c>
      <c r="F333" t="inlineStr">
        <is>
          <t>KRONOBERGS LÄN</t>
        </is>
      </c>
      <c r="G333" t="inlineStr">
        <is>
          <t>VÄXJÖ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44599</v>
      </c>
      <c r="E334" s="1" t="n">
        <v>46265</v>
      </c>
      <c r="F334" t="inlineStr">
        <is>
          <t>KRONOBERGS LÄN</t>
        </is>
      </c>
      <c r="G334" t="inlineStr">
        <is>
          <t>VÄXJÖ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46265</v>
      </c>
      <c r="F335" t="inlineStr">
        <is>
          <t>KRONOBERGS LÄN</t>
        </is>
      </c>
      <c r="G335" t="inlineStr">
        <is>
          <t>VÄXJÖ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45056</v>
      </c>
      <c r="E336" s="1" t="n">
        <v>46265</v>
      </c>
      <c r="F336" t="inlineStr">
        <is>
          <t>KRONOBERGS LÄN</t>
        </is>
      </c>
      <c r="G336" t="inlineStr">
        <is>
          <t>VÄXJÖ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44896</v>
      </c>
      <c r="E337" s="1" t="n">
        <v>46265</v>
      </c>
      <c r="F337" t="inlineStr">
        <is>
          <t>KRONOBERGS LÄN</t>
        </is>
      </c>
      <c r="G337" t="inlineStr">
        <is>
          <t>VÄXJÖ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46265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69752-2021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44532</v>
      </c>
      <c r="E339" s="1" t="n">
        <v>46265</v>
      </c>
      <c r="F339" t="inlineStr">
        <is>
          <t>KRONOBERGS LÄN</t>
        </is>
      </c>
      <c r="G339" t="inlineStr">
        <is>
          <t>VÄXJÖ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46265</v>
      </c>
      <c r="F340" t="inlineStr">
        <is>
          <t>KRONOBERGS LÄN</t>
        </is>
      </c>
      <c r="G340" t="inlineStr">
        <is>
          <t>VÄXJÖ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48884-2025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46265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45390</v>
      </c>
      <c r="E342" s="1" t="n">
        <v>46265</v>
      </c>
      <c r="F342" t="inlineStr">
        <is>
          <t>KRONOBERGS LÄN</t>
        </is>
      </c>
      <c r="G342" t="inlineStr">
        <is>
          <t>VÄXJÖ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44595</v>
      </c>
      <c r="E343" s="1" t="n">
        <v>46265</v>
      </c>
      <c r="F343" t="inlineStr">
        <is>
          <t>KRONOBERGS LÄN</t>
        </is>
      </c>
      <c r="G343" t="inlineStr">
        <is>
          <t>VÄXJÖ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46265</v>
      </c>
      <c r="F344" t="inlineStr">
        <is>
          <t>KRONOBERGS LÄN</t>
        </is>
      </c>
      <c r="G344" t="inlineStr">
        <is>
          <t>VÄXJÖ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46265</v>
      </c>
      <c r="F345" t="inlineStr">
        <is>
          <t>KRONOBERGS LÄN</t>
        </is>
      </c>
      <c r="G345" t="inlineStr">
        <is>
          <t>VÄXJÖ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19349-2025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45769</v>
      </c>
      <c r="E346" s="1" t="n">
        <v>46265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46265</v>
      </c>
      <c r="F347" t="inlineStr">
        <is>
          <t>KRONOBERGS LÄN</t>
        </is>
      </c>
      <c r="G347" t="inlineStr">
        <is>
          <t>VÄXJÖ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44938</v>
      </c>
      <c r="E348" s="1" t="n">
        <v>46265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59948-2025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46265</v>
      </c>
      <c r="F349" t="inlineStr">
        <is>
          <t>KRONOBERGS LÄN</t>
        </is>
      </c>
      <c r="G349" t="inlineStr">
        <is>
          <t>VÄXJÖ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46265</v>
      </c>
      <c r="F350" t="inlineStr">
        <is>
          <t>KRONOBERGS LÄN</t>
        </is>
      </c>
      <c r="G350" t="inlineStr">
        <is>
          <t>VÄXJÖ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46265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46265</v>
      </c>
      <c r="F352" t="inlineStr">
        <is>
          <t>KRONOBERGS LÄN</t>
        </is>
      </c>
      <c r="G352" t="inlineStr">
        <is>
          <t>VÄXJÖ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46265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46265</v>
      </c>
      <c r="F354" t="inlineStr">
        <is>
          <t>KRONOBERGS LÄN</t>
        </is>
      </c>
      <c r="G354" t="inlineStr">
        <is>
          <t>VÄXJÖ</t>
        </is>
      </c>
      <c r="I354" t="n">
        <v>14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46265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45014</v>
      </c>
      <c r="E356" s="1" t="n">
        <v>46265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46265</v>
      </c>
      <c r="F357" t="inlineStr">
        <is>
          <t>KRONOBERGS LÄN</t>
        </is>
      </c>
      <c r="G357" t="inlineStr">
        <is>
          <t>VÄXJÖ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46265</v>
      </c>
      <c r="F358" t="inlineStr">
        <is>
          <t>KRONOBERGS LÄN</t>
        </is>
      </c>
      <c r="G358" t="inlineStr">
        <is>
          <t>VÄXJÖ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45824</v>
      </c>
      <c r="E359" s="1" t="n">
        <v>46265</v>
      </c>
      <c r="F359" t="inlineStr">
        <is>
          <t>KRONOBERGS LÄN</t>
        </is>
      </c>
      <c r="G359" t="inlineStr">
        <is>
          <t>VÄXJÖ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46265</v>
      </c>
      <c r="F360" t="inlineStr">
        <is>
          <t>KRONOBERGS LÄN</t>
        </is>
      </c>
      <c r="G360" t="inlineStr">
        <is>
          <t>VÄXJÖ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46265</v>
      </c>
      <c r="F361" t="inlineStr">
        <is>
          <t>KRONOBERGS LÄN</t>
        </is>
      </c>
      <c r="G361" t="inlineStr">
        <is>
          <t>VÄXJÖ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46265</v>
      </c>
      <c r="F362" t="inlineStr">
        <is>
          <t>KRONOBERGS LÄN</t>
        </is>
      </c>
      <c r="G362" t="inlineStr">
        <is>
          <t>VÄXJÖ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45824</v>
      </c>
      <c r="E363" s="1" t="n">
        <v>46265</v>
      </c>
      <c r="F363" t="inlineStr">
        <is>
          <t>KRONOBERGS LÄN</t>
        </is>
      </c>
      <c r="G363" t="inlineStr">
        <is>
          <t>VÄXJÖ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45950</v>
      </c>
      <c r="E364" s="1" t="n">
        <v>46265</v>
      </c>
      <c r="F364" t="inlineStr">
        <is>
          <t>KRONOBERGS LÄN</t>
        </is>
      </c>
      <c r="G364" t="inlineStr">
        <is>
          <t>VÄXJÖ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45140</v>
      </c>
      <c r="E365" s="1" t="n">
        <v>46265</v>
      </c>
      <c r="F365" t="inlineStr">
        <is>
          <t>KRONOBERGS LÄN</t>
        </is>
      </c>
      <c r="G365" t="inlineStr">
        <is>
          <t>VÄXJÖ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45552</v>
      </c>
      <c r="E366" s="1" t="n">
        <v>46265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46265</v>
      </c>
      <c r="F367" t="inlineStr">
        <is>
          <t>KRONOBERGS LÄN</t>
        </is>
      </c>
      <c r="G367" t="inlineStr">
        <is>
          <t>VÄXJÖ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46265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45378</v>
      </c>
      <c r="E369" s="1" t="n">
        <v>46265</v>
      </c>
      <c r="F369" t="inlineStr">
        <is>
          <t>KRONOBERGS LÄN</t>
        </is>
      </c>
      <c r="G369" t="inlineStr">
        <is>
          <t>VÄXJÖ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46265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41482-2024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46265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45369</v>
      </c>
      <c r="E372" s="1" t="n">
        <v>46265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46265</v>
      </c>
      <c r="F373" t="inlineStr">
        <is>
          <t>KRONOBERGS LÄN</t>
        </is>
      </c>
      <c r="G373" t="inlineStr">
        <is>
          <t>VÄXJÖ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44869</v>
      </c>
      <c r="E374" s="1" t="n">
        <v>46265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45338</v>
      </c>
      <c r="E375" s="1" t="n">
        <v>46265</v>
      </c>
      <c r="F375" t="inlineStr">
        <is>
          <t>KRONOBERGS LÄN</t>
        </is>
      </c>
      <c r="G375" t="inlineStr">
        <is>
          <t>VÄXJÖ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46265</v>
      </c>
      <c r="F376" t="inlineStr">
        <is>
          <t>KRONOBERGS LÄN</t>
        </is>
      </c>
      <c r="G376" t="inlineStr">
        <is>
          <t>VÄXJÖ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46265</v>
      </c>
      <c r="F377" t="inlineStr">
        <is>
          <t>KRONOBERGS LÄN</t>
        </is>
      </c>
      <c r="G377" t="inlineStr">
        <is>
          <t>VÄXJÖ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51659-2023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45222</v>
      </c>
      <c r="E378" s="1" t="n">
        <v>46265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46265</v>
      </c>
      <c r="F379" t="inlineStr">
        <is>
          <t>KRONOBERGS LÄN</t>
        </is>
      </c>
      <c r="G379" t="inlineStr">
        <is>
          <t>VÄXJÖ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46265</v>
      </c>
      <c r="F380" t="inlineStr">
        <is>
          <t>KRONOBERGS LÄN</t>
        </is>
      </c>
      <c r="G380" t="inlineStr">
        <is>
          <t>VÄXJÖ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46265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46265</v>
      </c>
      <c r="F382" t="inlineStr">
        <is>
          <t>KRONOBERGS LÄN</t>
        </is>
      </c>
      <c r="G382" t="inlineStr">
        <is>
          <t>VÄXJÖ</t>
        </is>
      </c>
      <c r="H382" t="inlineStr">
        <is>
          <t>Kyrkan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45392</v>
      </c>
      <c r="E383" s="1" t="n">
        <v>46265</v>
      </c>
      <c r="F383" t="inlineStr">
        <is>
          <t>KRONOBERGS LÄN</t>
        </is>
      </c>
      <c r="G383" t="inlineStr">
        <is>
          <t>VÄXJÖ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44670</v>
      </c>
      <c r="E384" s="1" t="n">
        <v>46265</v>
      </c>
      <c r="F384" t="inlineStr">
        <is>
          <t>KRONOBERGS LÄN</t>
        </is>
      </c>
      <c r="G384" t="inlineStr">
        <is>
          <t>VÄXJÖ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30683-2025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46265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45805</v>
      </c>
      <c r="E386" s="1" t="n">
        <v>46265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46265</v>
      </c>
      <c r="F387" t="inlineStr">
        <is>
          <t>KRONOBERGS LÄN</t>
        </is>
      </c>
      <c r="G387" t="inlineStr">
        <is>
          <t>VÄXJÖ</t>
        </is>
      </c>
      <c r="I387" t="n">
        <v>10.6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44711</v>
      </c>
      <c r="E388" s="1" t="n">
        <v>46265</v>
      </c>
      <c r="F388" t="inlineStr">
        <is>
          <t>KRONOBERGS LÄN</t>
        </is>
      </c>
      <c r="G388" t="inlineStr">
        <is>
          <t>VÄXJÖ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46265</v>
      </c>
      <c r="F389" t="inlineStr">
        <is>
          <t>KRONOBERGS LÄN</t>
        </is>
      </c>
      <c r="G389" t="inlineStr">
        <is>
          <t>VÄXJÖ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46265</v>
      </c>
      <c r="F390" t="inlineStr">
        <is>
          <t>KRONOBERGS LÄN</t>
        </is>
      </c>
      <c r="G390" t="inlineStr">
        <is>
          <t>VÄXJÖ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46265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32080-2025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45835</v>
      </c>
      <c r="E392" s="1" t="n">
        <v>46265</v>
      </c>
      <c r="F392" t="inlineStr">
        <is>
          <t>KRONOBERGS LÄN</t>
        </is>
      </c>
      <c r="G392" t="inlineStr">
        <is>
          <t>VÄXJÖ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46265</v>
      </c>
      <c r="F393" t="inlineStr">
        <is>
          <t>KRONOBERGS LÄN</t>
        </is>
      </c>
      <c r="G393" t="inlineStr">
        <is>
          <t>VÄXJÖ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46265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45384</v>
      </c>
      <c r="E395" s="1" t="n">
        <v>46265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45345</v>
      </c>
      <c r="E396" s="1" t="n">
        <v>46265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46265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46265</v>
      </c>
      <c r="F398" t="inlineStr">
        <is>
          <t>KRONOBERGS LÄN</t>
        </is>
      </c>
      <c r="G398" t="inlineStr">
        <is>
          <t>VÄXJÖ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46265</v>
      </c>
      <c r="F399" t="inlineStr">
        <is>
          <t>KRONOBERGS LÄN</t>
        </is>
      </c>
      <c r="G399" t="inlineStr">
        <is>
          <t>VÄXJÖ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45540</v>
      </c>
      <c r="E400" s="1" t="n">
        <v>46265</v>
      </c>
      <c r="F400" t="inlineStr">
        <is>
          <t>KRONOBERGS LÄN</t>
        </is>
      </c>
      <c r="G400" t="inlineStr">
        <is>
          <t>VÄXJÖ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46265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45764</v>
      </c>
      <c r="E402" s="1" t="n">
        <v>46265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46265</v>
      </c>
      <c r="F403" t="inlineStr">
        <is>
          <t>KRONOBERGS LÄN</t>
        </is>
      </c>
      <c r="G403" t="inlineStr">
        <is>
          <t>VÄXJÖ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46265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10929-2025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46265</v>
      </c>
      <c r="F405" t="inlineStr">
        <is>
          <t>KRONOBERGS LÄN</t>
        </is>
      </c>
      <c r="G405" t="inlineStr">
        <is>
          <t>VÄXJÖ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44963</v>
      </c>
      <c r="E406" s="1" t="n">
        <v>46265</v>
      </c>
      <c r="F406" t="inlineStr">
        <is>
          <t>KRONOBERGS LÄN</t>
        </is>
      </c>
      <c r="G406" t="inlineStr">
        <is>
          <t>VÄXJÖ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46265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46265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46265</v>
      </c>
      <c r="F409" t="inlineStr">
        <is>
          <t>KRONOBERGS LÄN</t>
        </is>
      </c>
      <c r="G409" t="inlineStr">
        <is>
          <t>VÄXJÖ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45594</v>
      </c>
      <c r="E410" s="1" t="n">
        <v>46265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49002-2024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45594</v>
      </c>
      <c r="E411" s="1" t="n">
        <v>46265</v>
      </c>
      <c r="F411" t="inlineStr">
        <is>
          <t>KRONOBERGS LÄN</t>
        </is>
      </c>
      <c r="G411" t="inlineStr">
        <is>
          <t>VÄXJÖ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45594</v>
      </c>
      <c r="E412" s="1" t="n">
        <v>46265</v>
      </c>
      <c r="F412" t="inlineStr">
        <is>
          <t>KRONOBERGS LÄN</t>
        </is>
      </c>
      <c r="G412" t="inlineStr">
        <is>
          <t>VÄXJÖ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45594</v>
      </c>
      <c r="E413" s="1" t="n">
        <v>46265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46265</v>
      </c>
      <c r="F414" t="inlineStr">
        <is>
          <t>KRONOBERGS LÄN</t>
        </is>
      </c>
      <c r="G414" t="inlineStr">
        <is>
          <t>VÄXJÖ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49021-2024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45594</v>
      </c>
      <c r="E415" s="1" t="n">
        <v>46265</v>
      </c>
      <c r="F415" t="inlineStr">
        <is>
          <t>KRONOBERGS LÄN</t>
        </is>
      </c>
      <c r="G415" t="inlineStr">
        <is>
          <t>VÄXJÖ</t>
        </is>
      </c>
      <c r="H415" t="inlineStr">
        <is>
          <t>Sveaskog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46265</v>
      </c>
      <c r="F416" t="inlineStr">
        <is>
          <t>KRONOBERGS LÄN</t>
        </is>
      </c>
      <c r="G416" t="inlineStr">
        <is>
          <t>VÄXJÖ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49025-2024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45594</v>
      </c>
      <c r="E417" s="1" t="n">
        <v>46265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45586</v>
      </c>
      <c r="E418" s="1" t="n">
        <v>46265</v>
      </c>
      <c r="F418" t="inlineStr">
        <is>
          <t>KRONOBERGS LÄN</t>
        </is>
      </c>
      <c r="G418" t="inlineStr">
        <is>
          <t>VÄXJÖ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45390</v>
      </c>
      <c r="E419" s="1" t="n">
        <v>46265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64685-2023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46265</v>
      </c>
      <c r="F420" t="inlineStr">
        <is>
          <t>KRONOBERGS LÄN</t>
        </is>
      </c>
      <c r="G420" t="inlineStr">
        <is>
          <t>VÄXJÖ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45853</v>
      </c>
      <c r="E421" s="1" t="n">
        <v>46265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46265</v>
      </c>
      <c r="F422" t="inlineStr">
        <is>
          <t>KRONOBERGS LÄN</t>
        </is>
      </c>
      <c r="G422" t="inlineStr">
        <is>
          <t>VÄXJÖ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45740</v>
      </c>
      <c r="E423" s="1" t="n">
        <v>46265</v>
      </c>
      <c r="F423" t="inlineStr">
        <is>
          <t>KRONOBERGS LÄN</t>
        </is>
      </c>
      <c r="G423" t="inlineStr">
        <is>
          <t>VÄXJÖ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45714</v>
      </c>
      <c r="E424" s="1" t="n">
        <v>46265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46265</v>
      </c>
      <c r="F425" t="inlineStr">
        <is>
          <t>KRONOBERGS LÄN</t>
        </is>
      </c>
      <c r="G425" t="inlineStr">
        <is>
          <t>VÄXJÖ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46265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57188-2024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46265</v>
      </c>
      <c r="F427" t="inlineStr">
        <is>
          <t>KRONOBERGS LÄN</t>
        </is>
      </c>
      <c r="G427" t="inlineStr">
        <is>
          <t>VÄXJÖ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45328</v>
      </c>
      <c r="E428" s="1" t="n">
        <v>46265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46265</v>
      </c>
      <c r="F429" t="inlineStr">
        <is>
          <t>KRONOBERGS LÄN</t>
        </is>
      </c>
      <c r="G429" t="inlineStr">
        <is>
          <t>VÄXJÖ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59873-2021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46265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45384</v>
      </c>
      <c r="E431" s="1" t="n">
        <v>46265</v>
      </c>
      <c r="F431" t="inlineStr">
        <is>
          <t>KRONOBERGS LÄN</t>
        </is>
      </c>
      <c r="G431" t="inlineStr">
        <is>
          <t>VÄXJÖ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45097</v>
      </c>
      <c r="E432" s="1" t="n">
        <v>46265</v>
      </c>
      <c r="F432" t="inlineStr">
        <is>
          <t>KRONOBERGS LÄN</t>
        </is>
      </c>
      <c r="G432" t="inlineStr">
        <is>
          <t>VÄXJÖ</t>
        </is>
      </c>
      <c r="H432" t="inlineStr">
        <is>
          <t>Kyrkan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46265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45782</v>
      </c>
      <c r="E434" s="1" t="n">
        <v>46265</v>
      </c>
      <c r="F434" t="inlineStr">
        <is>
          <t>KRONOBERGS LÄN</t>
        </is>
      </c>
      <c r="G434" t="inlineStr">
        <is>
          <t>VÄXJÖ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46265</v>
      </c>
      <c r="F435" t="inlineStr">
        <is>
          <t>KRONOBERGS LÄN</t>
        </is>
      </c>
      <c r="G435" t="inlineStr">
        <is>
          <t>VÄXJÖ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59368-2024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45638</v>
      </c>
      <c r="E436" s="1" t="n">
        <v>46265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46265</v>
      </c>
      <c r="F437" t="inlineStr">
        <is>
          <t>KRONOBERGS LÄN</t>
        </is>
      </c>
      <c r="G437" t="inlineStr">
        <is>
          <t>VÄXJÖ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46265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46265</v>
      </c>
      <c r="F439" t="inlineStr">
        <is>
          <t>KRONOBERGS LÄN</t>
        </is>
      </c>
      <c r="G439" t="inlineStr">
        <is>
          <t>VÄXJÖ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21872-2022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44711</v>
      </c>
      <c r="E440" s="1" t="n">
        <v>46265</v>
      </c>
      <c r="F440" t="inlineStr">
        <is>
          <t>KRONOBERGS LÄN</t>
        </is>
      </c>
      <c r="G440" t="inlineStr">
        <is>
          <t>VÄXJÖ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45855</v>
      </c>
      <c r="E441" s="1" t="n">
        <v>46265</v>
      </c>
      <c r="F441" t="inlineStr">
        <is>
          <t>KRONOBERGS LÄN</t>
        </is>
      </c>
      <c r="G441" t="inlineStr">
        <is>
          <t>VÄXJÖ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45224</v>
      </c>
      <c r="E442" s="1" t="n">
        <v>46265</v>
      </c>
      <c r="F442" t="inlineStr">
        <is>
          <t>KRONOBERGS LÄN</t>
        </is>
      </c>
      <c r="G442" t="inlineStr">
        <is>
          <t>VÄXJÖ</t>
        </is>
      </c>
      <c r="H442" t="inlineStr">
        <is>
          <t>Kyrkan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46265</v>
      </c>
      <c r="F443" t="inlineStr">
        <is>
          <t>KRONOBERGS LÄN</t>
        </is>
      </c>
      <c r="G443" t="inlineStr">
        <is>
          <t>VÄXJÖ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46265</v>
      </c>
      <c r="F444" t="inlineStr">
        <is>
          <t>KRONOBERGS LÄN</t>
        </is>
      </c>
      <c r="G444" t="inlineStr">
        <is>
          <t>VÄXJÖ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46265</v>
      </c>
      <c r="F445" t="inlineStr">
        <is>
          <t>KRONOBERGS LÄN</t>
        </is>
      </c>
      <c r="G445" t="inlineStr">
        <is>
          <t>VÄXJÖ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44972</v>
      </c>
      <c r="E446" s="1" t="n">
        <v>46265</v>
      </c>
      <c r="F446" t="inlineStr">
        <is>
          <t>KRONOBERGS LÄN</t>
        </is>
      </c>
      <c r="G446" t="inlineStr">
        <is>
          <t>VÄXJÖ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45519</v>
      </c>
      <c r="E447" s="1" t="n">
        <v>46265</v>
      </c>
      <c r="F447" t="inlineStr">
        <is>
          <t>KRONOBERGS LÄN</t>
        </is>
      </c>
      <c r="G447" t="inlineStr">
        <is>
          <t>VÄXJÖ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45702</v>
      </c>
      <c r="E448" s="1" t="n">
        <v>46265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44967</v>
      </c>
      <c r="E449" s="1" t="n">
        <v>46265</v>
      </c>
      <c r="F449" t="inlineStr">
        <is>
          <t>KRONOBERGS LÄN</t>
        </is>
      </c>
      <c r="G449" t="inlineStr">
        <is>
          <t>VÄXJÖ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62569-2025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46265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45012</v>
      </c>
      <c r="E451" s="1" t="n">
        <v>46265</v>
      </c>
      <c r="F451" t="inlineStr">
        <is>
          <t>KRONOBERGS LÄN</t>
        </is>
      </c>
      <c r="G451" t="inlineStr">
        <is>
          <t>VÄXJÖ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45278</v>
      </c>
      <c r="E452" s="1" t="n">
        <v>46265</v>
      </c>
      <c r="F452" t="inlineStr">
        <is>
          <t>KRONOBERGS LÄN</t>
        </is>
      </c>
      <c r="G452" t="inlineStr">
        <is>
          <t>VÄXJÖ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9397-2023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44981</v>
      </c>
      <c r="E453" s="1" t="n">
        <v>46265</v>
      </c>
      <c r="F453" t="inlineStr">
        <is>
          <t>KRONOBERGS LÄN</t>
        </is>
      </c>
      <c r="G453" t="inlineStr">
        <is>
          <t>VÄXJÖ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46265</v>
      </c>
      <c r="F454" t="inlineStr">
        <is>
          <t>KRONOBERGS LÄN</t>
        </is>
      </c>
      <c r="G454" t="inlineStr">
        <is>
          <t>VÄXJÖ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46265</v>
      </c>
      <c r="F455" t="inlineStr">
        <is>
          <t>KRONOBERGS LÄN</t>
        </is>
      </c>
      <c r="G455" t="inlineStr">
        <is>
          <t>VÄXJÖ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46265</v>
      </c>
      <c r="F456" t="inlineStr">
        <is>
          <t>KRONOBERGS LÄN</t>
        </is>
      </c>
      <c r="G456" t="inlineStr">
        <is>
          <t>VÄXJÖ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46265</v>
      </c>
      <c r="F457" t="inlineStr">
        <is>
          <t>KRONOBERGS LÄN</t>
        </is>
      </c>
      <c r="G457" t="inlineStr">
        <is>
          <t>VÄXJÖ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46265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45385</v>
      </c>
      <c r="E459" s="1" t="n">
        <v>46265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45495</v>
      </c>
      <c r="E460" s="1" t="n">
        <v>46265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45229</v>
      </c>
      <c r="E461" s="1" t="n">
        <v>46265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46265</v>
      </c>
      <c r="F462" t="inlineStr">
        <is>
          <t>KRONOBERGS LÄN</t>
        </is>
      </c>
      <c r="G462" t="inlineStr">
        <is>
          <t>VÄXJÖ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46265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28576-2023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46265</v>
      </c>
      <c r="F464" t="inlineStr">
        <is>
          <t>KRONOBERGS LÄN</t>
        </is>
      </c>
      <c r="G464" t="inlineStr">
        <is>
          <t>VÄXJÖ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46265</v>
      </c>
      <c r="F465" t="inlineStr">
        <is>
          <t>KRONOBERGS LÄN</t>
        </is>
      </c>
      <c r="G465" t="inlineStr">
        <is>
          <t>VÄXJÖ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46265</v>
      </c>
      <c r="F466" t="inlineStr">
        <is>
          <t>KRONOBERGS LÄN</t>
        </is>
      </c>
      <c r="G466" t="inlineStr">
        <is>
          <t>VÄXJÖ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45538</v>
      </c>
      <c r="E467" s="1" t="n">
        <v>46265</v>
      </c>
      <c r="F467" t="inlineStr">
        <is>
          <t>KRONOBERGS LÄN</t>
        </is>
      </c>
      <c r="G467" t="inlineStr">
        <is>
          <t>VÄXJÖ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46265</v>
      </c>
      <c r="F468" t="inlineStr">
        <is>
          <t>KRONOBERGS LÄN</t>
        </is>
      </c>
      <c r="G468" t="inlineStr">
        <is>
          <t>VÄXJÖ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45114</v>
      </c>
      <c r="E469" s="1" t="n">
        <v>46265</v>
      </c>
      <c r="F469" t="inlineStr">
        <is>
          <t>KRONOBERGS LÄN</t>
        </is>
      </c>
      <c r="G469" t="inlineStr">
        <is>
          <t>VÄXJÖ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46265</v>
      </c>
      <c r="F470" t="inlineStr">
        <is>
          <t>KRONOBERGS LÄN</t>
        </is>
      </c>
      <c r="G470" t="inlineStr">
        <is>
          <t>VÄXJÖ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45128</v>
      </c>
      <c r="E471" s="1" t="n">
        <v>46265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46265</v>
      </c>
      <c r="F472" t="inlineStr">
        <is>
          <t>KRONOBERGS LÄN</t>
        </is>
      </c>
      <c r="G472" t="inlineStr">
        <is>
          <t>VÄXJÖ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44774</v>
      </c>
      <c r="E473" s="1" t="n">
        <v>46265</v>
      </c>
      <c r="F473" t="inlineStr">
        <is>
          <t>KRONOBERGS LÄN</t>
        </is>
      </c>
      <c r="G473" t="inlineStr">
        <is>
          <t>VÄXJÖ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45692</v>
      </c>
      <c r="E474" s="1" t="n">
        <v>46265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16990-2023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45033</v>
      </c>
      <c r="E475" s="1" t="n">
        <v>46265</v>
      </c>
      <c r="F475" t="inlineStr">
        <is>
          <t>KRONOBERGS LÄN</t>
        </is>
      </c>
      <c r="G475" t="inlineStr">
        <is>
          <t>VÄXJÖ</t>
        </is>
      </c>
      <c r="H475" t="inlineStr">
        <is>
          <t>Övriga Aktiebolag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46265</v>
      </c>
      <c r="F476" t="inlineStr">
        <is>
          <t>KRONOBERGS LÄN</t>
        </is>
      </c>
      <c r="G476" t="inlineStr">
        <is>
          <t>VÄXJÖ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44782</v>
      </c>
      <c r="E477" s="1" t="n">
        <v>46265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46265</v>
      </c>
      <c r="F478" t="inlineStr">
        <is>
          <t>KRONOBERGS LÄN</t>
        </is>
      </c>
      <c r="G478" t="inlineStr">
        <is>
          <t>VÄXJÖ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46265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46265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46265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44995</v>
      </c>
      <c r="E482" s="1" t="n">
        <v>46265</v>
      </c>
      <c r="F482" t="inlineStr">
        <is>
          <t>KRONOBERGS LÄN</t>
        </is>
      </c>
      <c r="G482" t="inlineStr">
        <is>
          <t>VÄXJÖ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46265</v>
      </c>
      <c r="F483" t="inlineStr">
        <is>
          <t>KRONOBERGS LÄN</t>
        </is>
      </c>
      <c r="G483" t="inlineStr">
        <is>
          <t>VÄXJÖ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46265</v>
      </c>
      <c r="F484" t="inlineStr">
        <is>
          <t>KRONOBERGS LÄN</t>
        </is>
      </c>
      <c r="G484" t="inlineStr">
        <is>
          <t>VÄXJÖ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70401-2021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44536</v>
      </c>
      <c r="E485" s="1" t="n">
        <v>46265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46265</v>
      </c>
      <c r="F486" t="inlineStr">
        <is>
          <t>KRONOBERGS LÄN</t>
        </is>
      </c>
      <c r="G486" t="inlineStr">
        <is>
          <t>VÄXJÖ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46265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48268-2022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44858</v>
      </c>
      <c r="E488" s="1" t="n">
        <v>46265</v>
      </c>
      <c r="F488" t="inlineStr">
        <is>
          <t>KRONOBERGS LÄN</t>
        </is>
      </c>
      <c r="G488" t="inlineStr">
        <is>
          <t>VÄXJÖ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61964-2021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44502</v>
      </c>
      <c r="E489" s="1" t="n">
        <v>46265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26085-2023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46265</v>
      </c>
      <c r="F490" t="inlineStr">
        <is>
          <t>KRONOBERGS LÄN</t>
        </is>
      </c>
      <c r="G490" t="inlineStr">
        <is>
          <t>VÄXJÖ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45030</v>
      </c>
      <c r="E491" s="1" t="n">
        <v>46265</v>
      </c>
      <c r="F491" t="inlineStr">
        <is>
          <t>KRONOBERGS LÄN</t>
        </is>
      </c>
      <c r="G491" t="inlineStr">
        <is>
          <t>VÄXJÖ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63228-2025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46265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63240-2025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46265</v>
      </c>
      <c r="F493" t="inlineStr">
        <is>
          <t>KRONOBERGS LÄN</t>
        </is>
      </c>
      <c r="G493" t="inlineStr">
        <is>
          <t>VÄXJÖ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63355-2025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46265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46019</v>
      </c>
      <c r="E495" s="1" t="n">
        <v>46265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45691</v>
      </c>
      <c r="E496" s="1" t="n">
        <v>46265</v>
      </c>
      <c r="F496" t="inlineStr">
        <is>
          <t>KRONOBERGS LÄN</t>
        </is>
      </c>
      <c r="G496" t="inlineStr">
        <is>
          <t>VÄXJÖ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46019</v>
      </c>
      <c r="E497" s="1" t="n">
        <v>46265</v>
      </c>
      <c r="F497" t="inlineStr">
        <is>
          <t>KRONOBERGS LÄN</t>
        </is>
      </c>
      <c r="G497" t="inlineStr">
        <is>
          <t>VÄXJÖ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38390-2022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46265</v>
      </c>
      <c r="F498" t="inlineStr">
        <is>
          <t>KRONOBERGS LÄN</t>
        </is>
      </c>
      <c r="G498" t="inlineStr">
        <is>
          <t>VÄXJÖ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46265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19187-2023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45048</v>
      </c>
      <c r="E500" s="1" t="n">
        <v>46265</v>
      </c>
      <c r="F500" t="inlineStr">
        <is>
          <t>KRONOBERGS LÄN</t>
        </is>
      </c>
      <c r="G500" t="inlineStr">
        <is>
          <t>VÄXJÖ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45190</v>
      </c>
      <c r="E501" s="1" t="n">
        <v>46265</v>
      </c>
      <c r="F501" t="inlineStr">
        <is>
          <t>KRONOBERGS LÄN</t>
        </is>
      </c>
      <c r="G501" t="inlineStr">
        <is>
          <t>VÄXJÖ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46265</v>
      </c>
      <c r="F502" t="inlineStr">
        <is>
          <t>KRONOBERGS LÄN</t>
        </is>
      </c>
      <c r="G502" t="inlineStr">
        <is>
          <t>VÄXJÖ</t>
        </is>
      </c>
      <c r="I502" t="n">
        <v>24.7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45513</v>
      </c>
      <c r="E503" s="1" t="n">
        <v>46265</v>
      </c>
      <c r="F503" t="inlineStr">
        <is>
          <t>KRONOBERGS LÄN</t>
        </is>
      </c>
      <c r="G503" t="inlineStr">
        <is>
          <t>VÄXJÖ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49263-2023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46265</v>
      </c>
      <c r="F504" t="inlineStr">
        <is>
          <t>KRONOBERGS LÄN</t>
        </is>
      </c>
      <c r="G504" t="inlineStr">
        <is>
          <t>VÄXJÖ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46265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44922</v>
      </c>
      <c r="E506" s="1" t="n">
        <v>46265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45753</v>
      </c>
      <c r="E507" s="1" t="n">
        <v>46265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73827-2021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44552</v>
      </c>
      <c r="E508" s="1" t="n">
        <v>46265</v>
      </c>
      <c r="F508" t="inlineStr">
        <is>
          <t>KRONOBERGS LÄN</t>
        </is>
      </c>
      <c r="G508" t="inlineStr">
        <is>
          <t>VÄXJÖ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58181-2023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46265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46265</v>
      </c>
      <c r="F510" t="inlineStr">
        <is>
          <t>KRONOBERGS LÄN</t>
        </is>
      </c>
      <c r="G510" t="inlineStr">
        <is>
          <t>VÄXJÖ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53522-2024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46265</v>
      </c>
      <c r="F511" t="inlineStr">
        <is>
          <t>KRONOBERGS LÄN</t>
        </is>
      </c>
      <c r="G511" t="inlineStr">
        <is>
          <t>VÄXJÖ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45533</v>
      </c>
      <c r="E512" s="1" t="n">
        <v>46265</v>
      </c>
      <c r="F512" t="inlineStr">
        <is>
          <t>KRONOBERGS LÄN</t>
        </is>
      </c>
      <c r="G512" t="inlineStr">
        <is>
          <t>VÄXJÖ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68473-2021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44529</v>
      </c>
      <c r="E513" s="1" t="n">
        <v>46265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12618-2022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44641</v>
      </c>
      <c r="E514" s="1" t="n">
        <v>46265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52545-2022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44874</v>
      </c>
      <c r="E515" s="1" t="n">
        <v>46265</v>
      </c>
      <c r="F515" t="inlineStr">
        <is>
          <t>KRONOBERGS LÄN</t>
        </is>
      </c>
      <c r="G515" t="inlineStr">
        <is>
          <t>VÄXJÖ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45715</v>
      </c>
      <c r="E516" s="1" t="n">
        <v>46265</v>
      </c>
      <c r="F516" t="inlineStr">
        <is>
          <t>KRONOBERGS LÄN</t>
        </is>
      </c>
      <c r="G516" t="inlineStr">
        <is>
          <t>VÄXJÖ</t>
        </is>
      </c>
      <c r="H516" t="inlineStr">
        <is>
          <t>Kyrkan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30438-2023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46265</v>
      </c>
      <c r="F517" t="inlineStr">
        <is>
          <t>KRONOBERGS LÄN</t>
        </is>
      </c>
      <c r="G517" t="inlineStr">
        <is>
          <t>VÄXJÖ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46265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46265</v>
      </c>
      <c r="F519" t="inlineStr">
        <is>
          <t>KRONOBERGS LÄN</t>
        </is>
      </c>
      <c r="G519" t="inlineStr">
        <is>
          <t>VÄXJÖ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46265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56821-2022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44894</v>
      </c>
      <c r="E521" s="1" t="n">
        <v>46265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46265</v>
      </c>
      <c r="F522" t="inlineStr">
        <is>
          <t>KRONOBERGS LÄN</t>
        </is>
      </c>
      <c r="G522" t="inlineStr">
        <is>
          <t>VÄXJÖ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46265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17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46265</v>
      </c>
      <c r="F524" t="inlineStr">
        <is>
          <t>KRONOBERGS LÄN</t>
        </is>
      </c>
      <c r="G524" t="inlineStr">
        <is>
          <t>VÄXJÖ</t>
        </is>
      </c>
      <c r="H524" t="inlineStr">
        <is>
          <t>Sveaskog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45036</v>
      </c>
      <c r="E525" s="1" t="n">
        <v>46265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45599</v>
      </c>
      <c r="E526" s="1" t="n">
        <v>46265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67304-2021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44523</v>
      </c>
      <c r="E527" s="1" t="n">
        <v>46265</v>
      </c>
      <c r="F527" t="inlineStr">
        <is>
          <t>KRONOBERGS LÄN</t>
        </is>
      </c>
      <c r="G527" t="inlineStr">
        <is>
          <t>VÄXJÖ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54397-2023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45233</v>
      </c>
      <c r="E528" s="1" t="n">
        <v>46265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46265</v>
      </c>
      <c r="F529" t="inlineStr">
        <is>
          <t>KRONOBERGS LÄN</t>
        </is>
      </c>
      <c r="G529" t="inlineStr">
        <is>
          <t>VÄXJÖ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46265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44600</v>
      </c>
      <c r="E531" s="1" t="n">
        <v>46265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46265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45307-2025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45921</v>
      </c>
      <c r="E533" s="1" t="n">
        <v>46265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46265</v>
      </c>
      <c r="F534" t="inlineStr">
        <is>
          <t>KRONOBERGS LÄN</t>
        </is>
      </c>
      <c r="G534" t="inlineStr">
        <is>
          <t>VÄXJÖ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44457</v>
      </c>
      <c r="E535" s="1" t="n">
        <v>46265</v>
      </c>
      <c r="F535" t="inlineStr">
        <is>
          <t>KRONOBERGS LÄN</t>
        </is>
      </c>
      <c r="G535" t="inlineStr">
        <is>
          <t>VÄXJÖ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46265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46265</v>
      </c>
      <c r="F537" t="inlineStr">
        <is>
          <t>KRONOBERGS LÄN</t>
        </is>
      </c>
      <c r="G537" t="inlineStr">
        <is>
          <t>VÄXJÖ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46265</v>
      </c>
      <c r="F538" t="inlineStr">
        <is>
          <t>KRONOBERGS LÄN</t>
        </is>
      </c>
      <c r="G538" t="inlineStr">
        <is>
          <t>VÄXJÖ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46265</v>
      </c>
      <c r="F539" t="inlineStr">
        <is>
          <t>KRONOBERGS LÄN</t>
        </is>
      </c>
      <c r="G539" t="inlineStr">
        <is>
          <t>VÄXJÖ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54673-2021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44473</v>
      </c>
      <c r="E540" s="1" t="n">
        <v>46265</v>
      </c>
      <c r="F540" t="inlineStr">
        <is>
          <t>KRONOBERGS LÄN</t>
        </is>
      </c>
      <c r="G540" t="inlineStr">
        <is>
          <t>VÄXJÖ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36724-2023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45153</v>
      </c>
      <c r="E541" s="1" t="n">
        <v>46265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44713</v>
      </c>
      <c r="E542" s="1" t="n">
        <v>46265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46265</v>
      </c>
      <c r="F543" t="inlineStr">
        <is>
          <t>KRONOBERGS LÄN</t>
        </is>
      </c>
      <c r="G543" t="inlineStr">
        <is>
          <t>VÄXJÖ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59867-2022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44908</v>
      </c>
      <c r="E544" s="1" t="n">
        <v>46265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46048</v>
      </c>
      <c r="E545" s="1" t="n">
        <v>46265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44897</v>
      </c>
      <c r="E546" s="1" t="n">
        <v>46265</v>
      </c>
      <c r="F546" t="inlineStr">
        <is>
          <t>KRONOBERGS LÄN</t>
        </is>
      </c>
      <c r="G546" t="inlineStr">
        <is>
          <t>VÄXJÖ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46045</v>
      </c>
      <c r="E547" s="1" t="n">
        <v>46265</v>
      </c>
      <c r="F547" t="inlineStr">
        <is>
          <t>KRONOBERGS LÄN</t>
        </is>
      </c>
      <c r="G547" t="inlineStr">
        <is>
          <t>VÄXJÖ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46265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13841-2025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46265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46265</v>
      </c>
      <c r="F550" t="inlineStr">
        <is>
          <t>KRONOBERGS LÄN</t>
        </is>
      </c>
      <c r="G550" t="inlineStr">
        <is>
          <t>VÄXJÖ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46265</v>
      </c>
      <c r="F551" t="inlineStr">
        <is>
          <t>KRONOBERGS LÄN</t>
        </is>
      </c>
      <c r="G551" t="inlineStr">
        <is>
          <t>VÄXJÖ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45557</v>
      </c>
      <c r="E552" s="1" t="n">
        <v>46265</v>
      </c>
      <c r="F552" t="inlineStr">
        <is>
          <t>KRONOBERGS LÄN</t>
        </is>
      </c>
      <c r="G552" t="inlineStr">
        <is>
          <t>VÄXJÖ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46265</v>
      </c>
      <c r="F553" t="inlineStr">
        <is>
          <t>KRONOBERGS LÄN</t>
        </is>
      </c>
      <c r="G553" t="inlineStr">
        <is>
          <t>VÄXJÖ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46265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46049</v>
      </c>
      <c r="E555" s="1" t="n">
        <v>46265</v>
      </c>
      <c r="F555" t="inlineStr">
        <is>
          <t>KRONOBERGS LÄN</t>
        </is>
      </c>
      <c r="G555" t="inlineStr">
        <is>
          <t>VÄXJÖ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46265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64193-2023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45279</v>
      </c>
      <c r="E557" s="1" t="n">
        <v>46265</v>
      </c>
      <c r="F557" t="inlineStr">
        <is>
          <t>KRONOBERGS LÄN</t>
        </is>
      </c>
      <c r="G557" t="inlineStr">
        <is>
          <t>VÄXJÖ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46051</v>
      </c>
      <c r="E558" s="1" t="n">
        <v>46265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63102-2023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46265</v>
      </c>
      <c r="F559" t="inlineStr">
        <is>
          <t>KRONOBERGS LÄN</t>
        </is>
      </c>
      <c r="G559" t="inlineStr">
        <is>
          <t>VÄXJÖ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46265</v>
      </c>
      <c r="F560" t="inlineStr">
        <is>
          <t>KRONOBERGS LÄN</t>
        </is>
      </c>
      <c r="G560" t="inlineStr">
        <is>
          <t>VÄXJÖ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46265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29477-2023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46265</v>
      </c>
      <c r="F562" t="inlineStr">
        <is>
          <t>KRONOBERGS LÄN</t>
        </is>
      </c>
      <c r="G562" t="inlineStr">
        <is>
          <t>VÄXJÖ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46265</v>
      </c>
      <c r="F563" t="inlineStr">
        <is>
          <t>KRONOBERGS LÄN</t>
        </is>
      </c>
      <c r="G563" t="inlineStr">
        <is>
          <t>VÄXJÖ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46265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46265</v>
      </c>
      <c r="F565" t="inlineStr">
        <is>
          <t>KRONOBERGS LÄN</t>
        </is>
      </c>
      <c r="G565" t="inlineStr">
        <is>
          <t>VÄXJÖ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45561</v>
      </c>
      <c r="E566" s="1" t="n">
        <v>46265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14126-2024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46265</v>
      </c>
      <c r="F567" t="inlineStr">
        <is>
          <t>KRONOBERGS LÄN</t>
        </is>
      </c>
      <c r="G567" t="inlineStr">
        <is>
          <t>VÄXJÖ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45447</v>
      </c>
      <c r="E568" s="1" t="n">
        <v>46265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46057</v>
      </c>
      <c r="E569" s="1" t="n">
        <v>46265</v>
      </c>
      <c r="F569" t="inlineStr">
        <is>
          <t>KRONOBERGS LÄN</t>
        </is>
      </c>
      <c r="G569" t="inlineStr">
        <is>
          <t>VÄXJÖ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46265</v>
      </c>
      <c r="F570" t="inlineStr">
        <is>
          <t>KRONOBERGS LÄN</t>
        </is>
      </c>
      <c r="G570" t="inlineStr">
        <is>
          <t>VÄXJÖ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46265</v>
      </c>
      <c r="F571" t="inlineStr">
        <is>
          <t>KRONOBERGS LÄN</t>
        </is>
      </c>
      <c r="G571" t="inlineStr">
        <is>
          <t>VÄXJÖ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24019-2023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45078</v>
      </c>
      <c r="E572" s="1" t="n">
        <v>46265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46265</v>
      </c>
      <c r="F573" t="inlineStr">
        <is>
          <t>KRONOBERGS LÄN</t>
        </is>
      </c>
      <c r="G573" t="inlineStr">
        <is>
          <t>VÄXJÖ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46265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45127</v>
      </c>
      <c r="E575" s="1" t="n">
        <v>46265</v>
      </c>
      <c r="F575" t="inlineStr">
        <is>
          <t>KRONOBERGS LÄN</t>
        </is>
      </c>
      <c r="G575" t="inlineStr">
        <is>
          <t>VÄXJÖ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46057</v>
      </c>
      <c r="E576" s="1" t="n">
        <v>46265</v>
      </c>
      <c r="F576" t="inlineStr">
        <is>
          <t>KRONOBERGS LÄN</t>
        </is>
      </c>
      <c r="G576" t="inlineStr">
        <is>
          <t>VÄXJÖ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46265</v>
      </c>
      <c r="F577" t="inlineStr">
        <is>
          <t>KRONOBERGS LÄN</t>
        </is>
      </c>
      <c r="G577" t="inlineStr">
        <is>
          <t>VÄXJÖ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36919-2024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45538</v>
      </c>
      <c r="E578" s="1" t="n">
        <v>46265</v>
      </c>
      <c r="F578" t="inlineStr">
        <is>
          <t>KRONOBERGS LÄN</t>
        </is>
      </c>
      <c r="G578" t="inlineStr">
        <is>
          <t>VÄXJÖ</t>
        </is>
      </c>
      <c r="H578" t="inlineStr">
        <is>
          <t>Kyrkan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45128</v>
      </c>
      <c r="E579" s="1" t="n">
        <v>46265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33398-2023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45128</v>
      </c>
      <c r="E580" s="1" t="n">
        <v>46265</v>
      </c>
      <c r="F580" t="inlineStr">
        <is>
          <t>KRONOBERGS LÄN</t>
        </is>
      </c>
      <c r="G580" t="inlineStr">
        <is>
          <t>VÄXJÖ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13371-2024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45387</v>
      </c>
      <c r="E581" s="1" t="n">
        <v>46265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46059</v>
      </c>
      <c r="E582" s="1" t="n">
        <v>46265</v>
      </c>
      <c r="F582" t="inlineStr">
        <is>
          <t>KRONOBERGS LÄN</t>
        </is>
      </c>
      <c r="G582" t="inlineStr">
        <is>
          <t>VÄXJÖ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7575-2026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46061</v>
      </c>
      <c r="E583" s="1" t="n">
        <v>46265</v>
      </c>
      <c r="F583" t="inlineStr">
        <is>
          <t>KRONOBERGS LÄN</t>
        </is>
      </c>
      <c r="G583" t="inlineStr">
        <is>
          <t>VÄXJÖ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45240</v>
      </c>
      <c r="E584" s="1" t="n">
        <v>46265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45121</v>
      </c>
      <c r="E585" s="1" t="n">
        <v>46265</v>
      </c>
      <c r="F585" t="inlineStr">
        <is>
          <t>KRONOBERGS LÄN</t>
        </is>
      </c>
      <c r="G585" t="inlineStr">
        <is>
          <t>VÄXJÖ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46265</v>
      </c>
      <c r="F586" t="inlineStr">
        <is>
          <t>KRONOBERGS LÄN</t>
        </is>
      </c>
      <c r="G586" t="inlineStr">
        <is>
          <t>VÄXJÖ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45121</v>
      </c>
      <c r="E587" s="1" t="n">
        <v>46265</v>
      </c>
      <c r="F587" t="inlineStr">
        <is>
          <t>KRONOBERGS LÄN</t>
        </is>
      </c>
      <c r="G587" t="inlineStr">
        <is>
          <t>VÄXJÖ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46059</v>
      </c>
      <c r="E588" s="1" t="n">
        <v>46265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46059</v>
      </c>
      <c r="E589" s="1" t="n">
        <v>46265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45387</v>
      </c>
      <c r="E590" s="1" t="n">
        <v>46265</v>
      </c>
      <c r="F590" t="inlineStr">
        <is>
          <t>KRONOBERGS LÄN</t>
        </is>
      </c>
      <c r="G590" t="inlineStr">
        <is>
          <t>VÄXJÖ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46265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16590-2023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45030</v>
      </c>
      <c r="E592" s="1" t="n">
        <v>46265</v>
      </c>
      <c r="F592" t="inlineStr">
        <is>
          <t>KRONOBERGS LÄN</t>
        </is>
      </c>
      <c r="G592" t="inlineStr">
        <is>
          <t>VÄXJÖ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54866-2023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45236</v>
      </c>
      <c r="E593" s="1" t="n">
        <v>46265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46265</v>
      </c>
      <c r="F594" t="inlineStr">
        <is>
          <t>KRONOBERGS LÄN</t>
        </is>
      </c>
      <c r="G594" t="inlineStr">
        <is>
          <t>VÄXJÖ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45446</v>
      </c>
      <c r="E595" s="1" t="n">
        <v>46265</v>
      </c>
      <c r="F595" t="inlineStr">
        <is>
          <t>KRONOBERGS LÄN</t>
        </is>
      </c>
      <c r="G595" t="inlineStr">
        <is>
          <t>VÄXJÖ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46265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45324</v>
      </c>
      <c r="E597" s="1" t="n">
        <v>46265</v>
      </c>
      <c r="F597" t="inlineStr">
        <is>
          <t>KRONOBERGS LÄN</t>
        </is>
      </c>
      <c r="G597" t="inlineStr">
        <is>
          <t>VÄXJÖ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45558</v>
      </c>
      <c r="E598" s="1" t="n">
        <v>46265</v>
      </c>
      <c r="F598" t="inlineStr">
        <is>
          <t>KRONOBERGS LÄN</t>
        </is>
      </c>
      <c r="G598" t="inlineStr">
        <is>
          <t>VÄXJÖ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45309</v>
      </c>
      <c r="E599" s="1" t="n">
        <v>46265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45309</v>
      </c>
      <c r="E600" s="1" t="n">
        <v>46265</v>
      </c>
      <c r="F600" t="inlineStr">
        <is>
          <t>KRONOBERGS LÄN</t>
        </is>
      </c>
      <c r="G600" t="inlineStr">
        <is>
          <t>VÄXJÖ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46265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46265</v>
      </c>
      <c r="F602" t="inlineStr">
        <is>
          <t>KRONOBERGS LÄN</t>
        </is>
      </c>
      <c r="G602" t="inlineStr">
        <is>
          <t>VÄXJÖ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17778-2023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45037</v>
      </c>
      <c r="E603" s="1" t="n">
        <v>46265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52996-2023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45222</v>
      </c>
      <c r="E604" s="1" t="n">
        <v>46265</v>
      </c>
      <c r="F604" t="inlineStr">
        <is>
          <t>KRONOBERGS LÄN</t>
        </is>
      </c>
      <c r="G604" t="inlineStr">
        <is>
          <t>VÄXJÖ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10566-2023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44988</v>
      </c>
      <c r="E605" s="1" t="n">
        <v>46265</v>
      </c>
      <c r="F605" t="inlineStr">
        <is>
          <t>KRONOBERGS LÄN</t>
        </is>
      </c>
      <c r="G605" t="inlineStr">
        <is>
          <t>VÄXJÖ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45127</v>
      </c>
      <c r="E606" s="1" t="n">
        <v>46265</v>
      </c>
      <c r="F606" t="inlineStr">
        <is>
          <t>KRONOBERGS LÄN</t>
        </is>
      </c>
      <c r="G606" t="inlineStr">
        <is>
          <t>VÄXJÖ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46265</v>
      </c>
      <c r="F607" t="inlineStr">
        <is>
          <t>KRONOBERGS LÄN</t>
        </is>
      </c>
      <c r="G607" t="inlineStr">
        <is>
          <t>VÄXJÖ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46265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46265</v>
      </c>
      <c r="F609" t="inlineStr">
        <is>
          <t>KRONOBERGS LÄN</t>
        </is>
      </c>
      <c r="G609" t="inlineStr">
        <is>
          <t>VÄXJÖ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46075</v>
      </c>
      <c r="E610" s="1" t="n">
        <v>46265</v>
      </c>
      <c r="F610" t="inlineStr">
        <is>
          <t>KRONOBERGS LÄN</t>
        </is>
      </c>
      <c r="G610" t="inlineStr">
        <is>
          <t>VÄXJÖ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45048</v>
      </c>
      <c r="E611" s="1" t="n">
        <v>46265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59366-2024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45638</v>
      </c>
      <c r="E612" s="1" t="n">
        <v>46265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46265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45611</v>
      </c>
      <c r="E614" s="1" t="n">
        <v>46265</v>
      </c>
      <c r="F614" t="inlineStr">
        <is>
          <t>KRONOBERGS LÄN</t>
        </is>
      </c>
      <c r="G614" t="inlineStr">
        <is>
          <t>VÄXJÖ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46265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10930-2026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46265</v>
      </c>
      <c r="F616" t="inlineStr">
        <is>
          <t>KRONOBERGS LÄN</t>
        </is>
      </c>
      <c r="G616" t="inlineStr">
        <is>
          <t>VÄXJÖ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38880-2023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45161</v>
      </c>
      <c r="E617" s="1" t="n">
        <v>46265</v>
      </c>
      <c r="F617" t="inlineStr">
        <is>
          <t>KRONOBERGS LÄN</t>
        </is>
      </c>
      <c r="G617" t="inlineStr">
        <is>
          <t>VÄXJÖ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46265</v>
      </c>
      <c r="F618" t="inlineStr">
        <is>
          <t>KRONOBERGS LÄN</t>
        </is>
      </c>
      <c r="G618" t="inlineStr">
        <is>
          <t>VÄXJÖ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44866</v>
      </c>
      <c r="E619" s="1" t="n">
        <v>46265</v>
      </c>
      <c r="F619" t="inlineStr">
        <is>
          <t>KRONOBERGS LÄN</t>
        </is>
      </c>
      <c r="G619" t="inlineStr">
        <is>
          <t>VÄXJÖ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11360-2026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46083</v>
      </c>
      <c r="E620" s="1" t="n">
        <v>46265</v>
      </c>
      <c r="F620" t="inlineStr">
        <is>
          <t>KRONOBERGS LÄN</t>
        </is>
      </c>
      <c r="G620" t="inlineStr">
        <is>
          <t>VÄXJÖ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11422-2026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46083</v>
      </c>
      <c r="E621" s="1" t="n">
        <v>46265</v>
      </c>
      <c r="F621" t="inlineStr">
        <is>
          <t>KRONOBERGS LÄN</t>
        </is>
      </c>
      <c r="G621" t="inlineStr">
        <is>
          <t>VÄXJÖ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46265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46265</v>
      </c>
      <c r="F623" t="inlineStr">
        <is>
          <t>KRONOBERGS LÄN</t>
        </is>
      </c>
      <c r="G623" t="inlineStr">
        <is>
          <t>VÄXJÖ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46265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34464-2023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45139</v>
      </c>
      <c r="E625" s="1" t="n">
        <v>46265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45112</v>
      </c>
      <c r="E626" s="1" t="n">
        <v>46265</v>
      </c>
      <c r="F626" t="inlineStr">
        <is>
          <t>KRONOBERGS LÄN</t>
        </is>
      </c>
      <c r="G626" t="inlineStr">
        <is>
          <t>VÄXJÖ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12253-2026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46265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46044-2024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45580</v>
      </c>
      <c r="E628" s="1" t="n">
        <v>46265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45014</v>
      </c>
      <c r="E629" s="1" t="n">
        <v>46265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45316</v>
      </c>
      <c r="E630" s="1" t="n">
        <v>46265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46265</v>
      </c>
      <c r="F631" t="inlineStr">
        <is>
          <t>KRONOBERGS LÄN</t>
        </is>
      </c>
      <c r="G631" t="inlineStr">
        <is>
          <t>VÄXJÖ</t>
        </is>
      </c>
      <c r="H631" t="inlineStr">
        <is>
          <t>Övriga Aktiebolag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45219</v>
      </c>
      <c r="E632" s="1" t="n">
        <v>46265</v>
      </c>
      <c r="F632" t="inlineStr">
        <is>
          <t>KRONOBERGS LÄN</t>
        </is>
      </c>
      <c r="G632" t="inlineStr">
        <is>
          <t>VÄXJÖ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45330</v>
      </c>
      <c r="E633" s="1" t="n">
        <v>46265</v>
      </c>
      <c r="F633" t="inlineStr">
        <is>
          <t>KRONOBERGS LÄN</t>
        </is>
      </c>
      <c r="G633" t="inlineStr">
        <is>
          <t>VÄXJÖ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60767-2024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45644</v>
      </c>
      <c r="E634" s="1" t="n">
        <v>46265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47868-2023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46265</v>
      </c>
      <c r="F635" t="inlineStr">
        <is>
          <t>KRONOBERGS LÄN</t>
        </is>
      </c>
      <c r="G635" t="inlineStr">
        <is>
          <t>VÄXJÖ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45008</v>
      </c>
      <c r="E636" s="1" t="n">
        <v>46265</v>
      </c>
      <c r="F636" t="inlineStr">
        <is>
          <t>KRONOBERGS LÄN</t>
        </is>
      </c>
      <c r="G636" t="inlineStr">
        <is>
          <t>VÄXJÖ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12704-2023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45000</v>
      </c>
      <c r="E637" s="1" t="n">
        <v>46265</v>
      </c>
      <c r="F637" t="inlineStr">
        <is>
          <t>KRONOBERGS LÄN</t>
        </is>
      </c>
      <c r="G637" t="inlineStr">
        <is>
          <t>VÄXJÖ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8037-2022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44609</v>
      </c>
      <c r="E638" s="1" t="n">
        <v>46265</v>
      </c>
      <c r="F638" t="inlineStr">
        <is>
          <t>KRONOBERGS LÄN</t>
        </is>
      </c>
      <c r="G638" t="inlineStr">
        <is>
          <t>VÄXJÖ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45733</v>
      </c>
      <c r="E639" s="1" t="n">
        <v>46265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45722</v>
      </c>
      <c r="E640" s="1" t="n">
        <v>46265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45036</v>
      </c>
      <c r="E641" s="1" t="n">
        <v>46265</v>
      </c>
      <c r="F641" t="inlineStr">
        <is>
          <t>KRONOBERGS LÄN</t>
        </is>
      </c>
      <c r="G641" t="inlineStr">
        <is>
          <t>VÄXJÖ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45065</v>
      </c>
      <c r="E642" s="1" t="n">
        <v>46265</v>
      </c>
      <c r="F642" t="inlineStr">
        <is>
          <t>KRONOBERGS LÄN</t>
        </is>
      </c>
      <c r="G642" t="inlineStr">
        <is>
          <t>VÄXJÖ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45028</v>
      </c>
      <c r="E643" s="1" t="n">
        <v>46265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49001-2024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46265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49005-2024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45594</v>
      </c>
      <c r="E645" s="1" t="n">
        <v>46265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46265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46265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49015-2024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45594</v>
      </c>
      <c r="E648" s="1" t="n">
        <v>46265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31753-2024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45509</v>
      </c>
      <c r="E649" s="1" t="n">
        <v>46265</v>
      </c>
      <c r="F649" t="inlineStr">
        <is>
          <t>KRONOBERGS LÄN</t>
        </is>
      </c>
      <c r="G649" t="inlineStr">
        <is>
          <t>VÄXJÖ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60733-2024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45644</v>
      </c>
      <c r="E650" s="1" t="n">
        <v>46265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49008-2024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45594</v>
      </c>
      <c r="E651" s="1" t="n">
        <v>46265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49020-2024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46265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49024-2024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45594</v>
      </c>
      <c r="E653" s="1" t="n">
        <v>46265</v>
      </c>
      <c r="F653" t="inlineStr">
        <is>
          <t>KRONOBERGS LÄN</t>
        </is>
      </c>
      <c r="G653" t="inlineStr">
        <is>
          <t>VÄXJÖ</t>
        </is>
      </c>
      <c r="H653" t="inlineStr">
        <is>
          <t>Sveaskog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46265</v>
      </c>
      <c r="F654" t="inlineStr">
        <is>
          <t>KRONOBERGS LÄN</t>
        </is>
      </c>
      <c r="G654" t="inlineStr">
        <is>
          <t>VÄXJÖ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3058-2024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45316</v>
      </c>
      <c r="E655" s="1" t="n">
        <v>46265</v>
      </c>
      <c r="F655" t="inlineStr">
        <is>
          <t>KRONOBERGS LÄN</t>
        </is>
      </c>
      <c r="G655" t="inlineStr">
        <is>
          <t>VÄXJÖ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45316</v>
      </c>
      <c r="E656" s="1" t="n">
        <v>46265</v>
      </c>
      <c r="F656" t="inlineStr">
        <is>
          <t>KRONOBERGS LÄN</t>
        </is>
      </c>
      <c r="G656" t="inlineStr">
        <is>
          <t>VÄXJÖ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20397-2023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45056</v>
      </c>
      <c r="E657" s="1" t="n">
        <v>46265</v>
      </c>
      <c r="F657" t="inlineStr">
        <is>
          <t>KRONOBERGS LÄN</t>
        </is>
      </c>
      <c r="G657" t="inlineStr">
        <is>
          <t>VÄXJÖ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48264-2022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46265</v>
      </c>
      <c r="F658" t="inlineStr">
        <is>
          <t>KRONOBERGS LÄN</t>
        </is>
      </c>
      <c r="G658" t="inlineStr">
        <is>
          <t>VÄXJÖ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14139-2026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46265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46100</v>
      </c>
      <c r="E660" s="1" t="n">
        <v>46265</v>
      </c>
      <c r="F660" t="inlineStr">
        <is>
          <t>KRONOBERGS LÄN</t>
        </is>
      </c>
      <c r="G660" t="inlineStr">
        <is>
          <t>VÄXJÖ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46265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46265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14370-2026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46265</v>
      </c>
      <c r="F663" t="inlineStr">
        <is>
          <t>KRONOBERGS LÄN</t>
        </is>
      </c>
      <c r="G663" t="inlineStr">
        <is>
          <t>VÄXJÖ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45372</v>
      </c>
      <c r="E664" s="1" t="n">
        <v>46265</v>
      </c>
      <c r="F664" t="inlineStr">
        <is>
          <t>KRONOBERGS LÄN</t>
        </is>
      </c>
      <c r="G664" t="inlineStr">
        <is>
          <t>VÄXJÖ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30755-2022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44764</v>
      </c>
      <c r="E665" s="1" t="n">
        <v>46265</v>
      </c>
      <c r="F665" t="inlineStr">
        <is>
          <t>KRONOBERGS LÄN</t>
        </is>
      </c>
      <c r="G665" t="inlineStr">
        <is>
          <t>VÄXJÖ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45091</v>
      </c>
      <c r="E666" s="1" t="n">
        <v>46265</v>
      </c>
      <c r="F666" t="inlineStr">
        <is>
          <t>KRONOBERGS LÄN</t>
        </is>
      </c>
      <c r="G666" t="inlineStr">
        <is>
          <t>VÄXJÖ</t>
        </is>
      </c>
      <c r="H666" t="inlineStr">
        <is>
          <t>Kyrkan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45623-2024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46265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45385</v>
      </c>
      <c r="E668" s="1" t="n">
        <v>46265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46265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46265</v>
      </c>
      <c r="F670" t="inlineStr">
        <is>
          <t>KRONOBERGS LÄN</t>
        </is>
      </c>
      <c r="G670" t="inlineStr">
        <is>
          <t>VÄXJÖ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31090-2022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44769</v>
      </c>
      <c r="E671" s="1" t="n">
        <v>46265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31091-2022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44769</v>
      </c>
      <c r="E672" s="1" t="n">
        <v>46265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16055-2026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46108</v>
      </c>
      <c r="E673" s="1" t="n">
        <v>46265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21186-2024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45440</v>
      </c>
      <c r="E674" s="1" t="n">
        <v>46265</v>
      </c>
      <c r="F674" t="inlineStr">
        <is>
          <t>KRONOBERGS LÄN</t>
        </is>
      </c>
      <c r="G674" t="inlineStr">
        <is>
          <t>VÄXJÖ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3238-2025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45679</v>
      </c>
      <c r="E675" s="1" t="n">
        <v>46265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16765-2026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46113</v>
      </c>
      <c r="E676" s="1" t="n">
        <v>46265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16591-2026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46112</v>
      </c>
      <c r="E677" s="1" t="n">
        <v>46265</v>
      </c>
      <c r="F677" t="inlineStr">
        <is>
          <t>KRONOBERGS LÄN</t>
        </is>
      </c>
      <c r="G677" t="inlineStr">
        <is>
          <t>VÄXJÖ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46265</v>
      </c>
      <c r="F678" t="inlineStr">
        <is>
          <t>KRONOBERGS LÄN</t>
        </is>
      </c>
      <c r="G678" t="inlineStr">
        <is>
          <t>VÄXJÖ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49961-2023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45215</v>
      </c>
      <c r="E679" s="1" t="n">
        <v>46265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53252-2022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44876</v>
      </c>
      <c r="E680" s="1" t="n">
        <v>46265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45495</v>
      </c>
      <c r="E681" s="1" t="n">
        <v>46265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49018-2024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46265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46265</v>
      </c>
      <c r="F683" t="inlineStr">
        <is>
          <t>KRONOBERGS LÄN</t>
        </is>
      </c>
      <c r="G683" t="inlineStr">
        <is>
          <t>VÄXJÖ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45210</v>
      </c>
      <c r="E684" s="1" t="n">
        <v>46265</v>
      </c>
      <c r="F684" t="inlineStr">
        <is>
          <t>KRONOBERGS LÄN</t>
        </is>
      </c>
      <c r="G684" t="inlineStr">
        <is>
          <t>VÄXJÖ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16767-2025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45754</v>
      </c>
      <c r="E685" s="1" t="n">
        <v>46265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49087-2024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46265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57034-2023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46265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44679</v>
      </c>
      <c r="E688" s="1" t="n">
        <v>46265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44678</v>
      </c>
      <c r="E689" s="1" t="n">
        <v>46265</v>
      </c>
      <c r="F689" t="inlineStr">
        <is>
          <t>KRONOBERGS LÄN</t>
        </is>
      </c>
      <c r="G689" t="inlineStr">
        <is>
          <t>VÄXJÖ</t>
        </is>
      </c>
      <c r="I689" t="n">
        <v>10.8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46265</v>
      </c>
      <c r="F690" t="inlineStr">
        <is>
          <t>KRONOBERGS LÄN</t>
        </is>
      </c>
      <c r="G690" t="inlineStr">
        <is>
          <t>VÄXJÖ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35913-2022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44802</v>
      </c>
      <c r="E691" s="1" t="n">
        <v>46265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45420</v>
      </c>
      <c r="E692" s="1" t="n">
        <v>46265</v>
      </c>
      <c r="F692" t="inlineStr">
        <is>
          <t>KRONOBERGS LÄN</t>
        </is>
      </c>
      <c r="G692" t="inlineStr">
        <is>
          <t>VÄXJÖ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34549-2023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45140</v>
      </c>
      <c r="E693" s="1" t="n">
        <v>46265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4457-2025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45686</v>
      </c>
      <c r="E694" s="1" t="n">
        <v>46265</v>
      </c>
      <c r="F694" t="inlineStr">
        <is>
          <t>KRONOBERGS LÄN</t>
        </is>
      </c>
      <c r="G694" t="inlineStr">
        <is>
          <t>VÄXJÖ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45686</v>
      </c>
      <c r="E695" s="1" t="n">
        <v>46265</v>
      </c>
      <c r="F695" t="inlineStr">
        <is>
          <t>KRONOBERGS LÄN</t>
        </is>
      </c>
      <c r="G695" t="inlineStr">
        <is>
          <t>VÄXJÖ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46265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16945-2022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44676</v>
      </c>
      <c r="E697" s="1" t="n">
        <v>46265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18939-2026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46129</v>
      </c>
      <c r="E698" s="1" t="n">
        <v>46265</v>
      </c>
      <c r="F698" t="inlineStr">
        <is>
          <t>KRONOBERGS LÄN</t>
        </is>
      </c>
      <c r="G698" t="inlineStr">
        <is>
          <t>VÄXJÖ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9960-2022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44620</v>
      </c>
      <c r="E699" s="1" t="n">
        <v>46265</v>
      </c>
      <c r="F699" t="inlineStr">
        <is>
          <t>KRONOBERGS LÄN</t>
        </is>
      </c>
      <c r="G699" t="inlineStr">
        <is>
          <t>VÄXJÖ</t>
        </is>
      </c>
      <c r="I699" t="n">
        <v>12.2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59294-2023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46265</v>
      </c>
      <c r="F700" t="inlineStr">
        <is>
          <t>KRONOBERGS LÄN</t>
        </is>
      </c>
      <c r="G700" t="inlineStr">
        <is>
          <t>VÄXJÖ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58046-2023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45247</v>
      </c>
      <c r="E701" s="1" t="n">
        <v>46265</v>
      </c>
      <c r="F701" t="inlineStr">
        <is>
          <t>KRONOBERGS LÄN</t>
        </is>
      </c>
      <c r="G701" t="inlineStr">
        <is>
          <t>VÄXJÖ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37902-2025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46265</v>
      </c>
      <c r="F702" t="inlineStr">
        <is>
          <t>KRONOBERGS LÄN</t>
        </is>
      </c>
      <c r="G702" t="inlineStr">
        <is>
          <t>VÄXJÖ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44676</v>
      </c>
      <c r="E703" s="1" t="n">
        <v>46265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59477-2024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45638</v>
      </c>
      <c r="E704" s="1" t="n">
        <v>46265</v>
      </c>
      <c r="F704" t="inlineStr">
        <is>
          <t>KRONOBERGS LÄN</t>
        </is>
      </c>
      <c r="G704" t="inlineStr">
        <is>
          <t>VÄXJÖ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45677</v>
      </c>
      <c r="E705" s="1" t="n">
        <v>46265</v>
      </c>
      <c r="F705" t="inlineStr">
        <is>
          <t>KRONOBERGS LÄN</t>
        </is>
      </c>
      <c r="G705" t="inlineStr">
        <is>
          <t>VÄXJÖ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45236</v>
      </c>
      <c r="E706" s="1" t="n">
        <v>46265</v>
      </c>
      <c r="F706" t="inlineStr">
        <is>
          <t>KRONOBERGS LÄN</t>
        </is>
      </c>
      <c r="G706" t="inlineStr">
        <is>
          <t>VÄXJÖ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54759-2023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45236</v>
      </c>
      <c r="E707" s="1" t="n">
        <v>46265</v>
      </c>
      <c r="F707" t="inlineStr">
        <is>
          <t>KRONOBERGS LÄN</t>
        </is>
      </c>
      <c r="G707" t="inlineStr">
        <is>
          <t>VÄXJÖ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32007-2025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45835</v>
      </c>
      <c r="E708" s="1" t="n">
        <v>46265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14868-2025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45743</v>
      </c>
      <c r="E709" s="1" t="n">
        <v>46265</v>
      </c>
      <c r="F709" t="inlineStr">
        <is>
          <t>KRONOBERGS LÄN</t>
        </is>
      </c>
      <c r="G709" t="inlineStr">
        <is>
          <t>VÄXJÖ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30367-2025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45827</v>
      </c>
      <c r="E710" s="1" t="n">
        <v>46265</v>
      </c>
      <c r="F710" t="inlineStr">
        <is>
          <t>KRONOBERGS LÄN</t>
        </is>
      </c>
      <c r="G710" t="inlineStr">
        <is>
          <t>VÄXJÖ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45698</v>
      </c>
      <c r="E711" s="1" t="n">
        <v>46265</v>
      </c>
      <c r="F711" t="inlineStr">
        <is>
          <t>KRONOBERGS LÄN</t>
        </is>
      </c>
      <c r="G711" t="inlineStr">
        <is>
          <t>VÄXJÖ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45810</v>
      </c>
      <c r="E712" s="1" t="n">
        <v>46265</v>
      </c>
      <c r="F712" t="inlineStr">
        <is>
          <t>KRONOBERGS LÄN</t>
        </is>
      </c>
      <c r="G712" t="inlineStr">
        <is>
          <t>VÄXJÖ</t>
        </is>
      </c>
      <c r="H712" t="inlineStr">
        <is>
          <t>Övriga Aktiebolag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30130-2025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45826</v>
      </c>
      <c r="E713" s="1" t="n">
        <v>46265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31469-2023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45114</v>
      </c>
      <c r="E714" s="1" t="n">
        <v>46265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45670</v>
      </c>
      <c r="E715" s="1" t="n">
        <v>46265</v>
      </c>
      <c r="F715" t="inlineStr">
        <is>
          <t>KRONOBERGS LÄN</t>
        </is>
      </c>
      <c r="G715" t="inlineStr">
        <is>
          <t>VÄXJÖ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42367-2025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45905</v>
      </c>
      <c r="E716" s="1" t="n">
        <v>46265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45679</v>
      </c>
      <c r="E717" s="1" t="n">
        <v>46265</v>
      </c>
      <c r="F717" t="inlineStr">
        <is>
          <t>KRONOBERGS LÄN</t>
        </is>
      </c>
      <c r="G717" t="inlineStr">
        <is>
          <t>VÄXJÖ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45689-2025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46265</v>
      </c>
      <c r="F718" t="inlineStr">
        <is>
          <t>KRONOBERGS LÄN</t>
        </is>
      </c>
      <c r="G718" t="inlineStr">
        <is>
          <t>VÄXJÖ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31571-2025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45833</v>
      </c>
      <c r="E719" s="1" t="n">
        <v>46265</v>
      </c>
      <c r="F719" t="inlineStr">
        <is>
          <t>KRONOBERGS LÄN</t>
        </is>
      </c>
      <c r="G719" t="inlineStr">
        <is>
          <t>VÄXJÖ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38425-2025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45883</v>
      </c>
      <c r="E720" s="1" t="n">
        <v>46265</v>
      </c>
      <c r="F720" t="inlineStr">
        <is>
          <t>KRONOBERGS LÄN</t>
        </is>
      </c>
      <c r="G720" t="inlineStr">
        <is>
          <t>VÄXJÖ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45883</v>
      </c>
      <c r="E721" s="1" t="n">
        <v>46265</v>
      </c>
      <c r="F721" t="inlineStr">
        <is>
          <t>KRONOBERGS LÄN</t>
        </is>
      </c>
      <c r="G721" t="inlineStr">
        <is>
          <t>VÄXJÖ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18823-2022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44690</v>
      </c>
      <c r="E722" s="1" t="n">
        <v>46265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20411-2025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46265</v>
      </c>
      <c r="F723" t="inlineStr">
        <is>
          <t>KRONOBERGS LÄN</t>
        </is>
      </c>
      <c r="G723" t="inlineStr">
        <is>
          <t>VÄXJÖ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34345-2025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45846</v>
      </c>
      <c r="E724" s="1" t="n">
        <v>46265</v>
      </c>
      <c r="F724" t="inlineStr">
        <is>
          <t>KRONOBERGS LÄN</t>
        </is>
      </c>
      <c r="G724" t="inlineStr">
        <is>
          <t>VÄXJÖ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21274-2022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44705</v>
      </c>
      <c r="E725" s="1" t="n">
        <v>46265</v>
      </c>
      <c r="F725" t="inlineStr">
        <is>
          <t>KRONOBERGS LÄN</t>
        </is>
      </c>
      <c r="G725" t="inlineStr">
        <is>
          <t>VÄXJÖ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45782</v>
      </c>
      <c r="E726" s="1" t="n">
        <v>46265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14172-2022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44651</v>
      </c>
      <c r="E727" s="1" t="n">
        <v>46265</v>
      </c>
      <c r="F727" t="inlineStr">
        <is>
          <t>KRONOBERGS LÄN</t>
        </is>
      </c>
      <c r="G727" t="inlineStr">
        <is>
          <t>VÄXJÖ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24556-2024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46265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45813-2025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46265</v>
      </c>
      <c r="F729" t="inlineStr">
        <is>
          <t>KRONOBERGS LÄN</t>
        </is>
      </c>
      <c r="G729" t="inlineStr">
        <is>
          <t>VÄXJÖ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18813-2024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45426</v>
      </c>
      <c r="E730" s="1" t="n">
        <v>46265</v>
      </c>
      <c r="F730" t="inlineStr">
        <is>
          <t>KRONOBERGS LÄN</t>
        </is>
      </c>
      <c r="G730" t="inlineStr">
        <is>
          <t>VÄXJÖ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18269-2024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45421</v>
      </c>
      <c r="E731" s="1" t="n">
        <v>46265</v>
      </c>
      <c r="F731" t="inlineStr">
        <is>
          <t>KRONOBERGS LÄN</t>
        </is>
      </c>
      <c r="G731" t="inlineStr">
        <is>
          <t>VÄXJÖ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44141-2023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46265</v>
      </c>
      <c r="F732" t="inlineStr">
        <is>
          <t>KRONOBERGS LÄN</t>
        </is>
      </c>
      <c r="G732" t="inlineStr">
        <is>
          <t>VÄXJÖ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49578-2025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45939</v>
      </c>
      <c r="E733" s="1" t="n">
        <v>46265</v>
      </c>
      <c r="F733" t="inlineStr">
        <is>
          <t>KRONOBERGS LÄN</t>
        </is>
      </c>
      <c r="G733" t="inlineStr">
        <is>
          <t>VÄXJÖ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45827</v>
      </c>
      <c r="E734" s="1" t="n">
        <v>46265</v>
      </c>
      <c r="F734" t="inlineStr">
        <is>
          <t>KRONOBERGS LÄN</t>
        </is>
      </c>
      <c r="G734" t="inlineStr">
        <is>
          <t>VÄXJÖ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41823-2023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45176</v>
      </c>
      <c r="E735" s="1" t="n">
        <v>46265</v>
      </c>
      <c r="F735" t="inlineStr">
        <is>
          <t>KRONOBERGS LÄN</t>
        </is>
      </c>
      <c r="G735" t="inlineStr">
        <is>
          <t>VÄXJÖ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45121</v>
      </c>
      <c r="E736" s="1" t="n">
        <v>46265</v>
      </c>
      <c r="F736" t="inlineStr">
        <is>
          <t>KRONOBERGS LÄN</t>
        </is>
      </c>
      <c r="G736" t="inlineStr">
        <is>
          <t>VÄXJÖ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58195-2023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45250</v>
      </c>
      <c r="E737" s="1" t="n">
        <v>46265</v>
      </c>
      <c r="F737" t="inlineStr">
        <is>
          <t>KRONOBERGS LÄN</t>
        </is>
      </c>
      <c r="G737" t="inlineStr">
        <is>
          <t>VÄXJÖ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44746</v>
      </c>
      <c r="E738" s="1" t="n">
        <v>46265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33713-2025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45841</v>
      </c>
      <c r="E739" s="1" t="n">
        <v>46265</v>
      </c>
      <c r="F739" t="inlineStr">
        <is>
          <t>KRONOBERGS LÄN</t>
        </is>
      </c>
      <c r="G739" t="inlineStr">
        <is>
          <t>VÄXJÖ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4459-2025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46265</v>
      </c>
      <c r="F740" t="inlineStr">
        <is>
          <t>KRONOBERGS LÄN</t>
        </is>
      </c>
      <c r="G740" t="inlineStr">
        <is>
          <t>VÄXJÖ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53389-2021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44468</v>
      </c>
      <c r="E741" s="1" t="n">
        <v>46265</v>
      </c>
      <c r="F741" t="inlineStr">
        <is>
          <t>KRONOBERGS LÄN</t>
        </is>
      </c>
      <c r="G741" t="inlineStr">
        <is>
          <t>VÄXJÖ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45753</v>
      </c>
      <c r="E742" s="1" t="n">
        <v>46265</v>
      </c>
      <c r="F742" t="inlineStr">
        <is>
          <t>KRONOBERGS LÄN</t>
        </is>
      </c>
      <c r="G742" t="inlineStr">
        <is>
          <t>VÄXJÖ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65087-2023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45288</v>
      </c>
      <c r="E743" s="1" t="n">
        <v>46265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44686</v>
      </c>
      <c r="E744" s="1" t="n">
        <v>46265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60621-2023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45260</v>
      </c>
      <c r="E745" s="1" t="n">
        <v>46265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45877</v>
      </c>
      <c r="E746" s="1" t="n">
        <v>46265</v>
      </c>
      <c r="F746" t="inlineStr">
        <is>
          <t>KRONOBERGS LÄN</t>
        </is>
      </c>
      <c r="G746" t="inlineStr">
        <is>
          <t>VÄXJÖ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61055-2022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44915</v>
      </c>
      <c r="E747" s="1" t="n">
        <v>46265</v>
      </c>
      <c r="F747" t="inlineStr">
        <is>
          <t>KRONOBERGS LÄN</t>
        </is>
      </c>
      <c r="G747" t="inlineStr">
        <is>
          <t>VÄXJÖ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14263-2022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44651</v>
      </c>
      <c r="E748" s="1" t="n">
        <v>46265</v>
      </c>
      <c r="F748" t="inlineStr">
        <is>
          <t>KRONOBERGS LÄN</t>
        </is>
      </c>
      <c r="G748" t="inlineStr">
        <is>
          <t>VÄXJÖ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45818</v>
      </c>
      <c r="E749" s="1" t="n">
        <v>46265</v>
      </c>
      <c r="F749" t="inlineStr">
        <is>
          <t>KRONOBERGS LÄN</t>
        </is>
      </c>
      <c r="G749" t="inlineStr">
        <is>
          <t>VÄXJÖ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42362-2022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44831</v>
      </c>
      <c r="E750" s="1" t="n">
        <v>46265</v>
      </c>
      <c r="F750" t="inlineStr">
        <is>
          <t>KRONOBERGS LÄN</t>
        </is>
      </c>
      <c r="G750" t="inlineStr">
        <is>
          <t>VÄXJÖ</t>
        </is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45301</v>
      </c>
      <c r="E751" s="1" t="n">
        <v>46265</v>
      </c>
      <c r="F751" t="inlineStr">
        <is>
          <t>KRONOBERGS LÄN</t>
        </is>
      </c>
      <c r="G751" t="inlineStr">
        <is>
          <t>VÄXJÖ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58054-2023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45247</v>
      </c>
      <c r="E752" s="1" t="n">
        <v>46265</v>
      </c>
      <c r="F752" t="inlineStr">
        <is>
          <t>KRONOBERGS LÄN</t>
        </is>
      </c>
      <c r="G752" t="inlineStr">
        <is>
          <t>VÄXJÖ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45309</v>
      </c>
      <c r="E753" s="1" t="n">
        <v>46265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32495-2023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46265</v>
      </c>
      <c r="F754" t="inlineStr">
        <is>
          <t>KRONOBERGS LÄN</t>
        </is>
      </c>
      <c r="G754" t="inlineStr">
        <is>
          <t>VÄXJÖ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17095-2022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44677</v>
      </c>
      <c r="E755" s="1" t="n">
        <v>46265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37924-2022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44811</v>
      </c>
      <c r="E756" s="1" t="n">
        <v>46265</v>
      </c>
      <c r="F756" t="inlineStr">
        <is>
          <t>KRONOBERGS LÄN</t>
        </is>
      </c>
      <c r="G756" t="inlineStr">
        <is>
          <t>VÄXJÖ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28801-2022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44749</v>
      </c>
      <c r="E757" s="1" t="n">
        <v>46265</v>
      </c>
      <c r="F757" t="inlineStr">
        <is>
          <t>KRONOBERGS LÄN</t>
        </is>
      </c>
      <c r="G757" t="inlineStr">
        <is>
          <t>VÄXJÖ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28972-2023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45104</v>
      </c>
      <c r="E758" s="1" t="n">
        <v>46265</v>
      </c>
      <c r="F758" t="inlineStr">
        <is>
          <t>KRONOBERGS LÄN</t>
        </is>
      </c>
      <c r="G758" t="inlineStr">
        <is>
          <t>VÄXJÖ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48472-2021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44452</v>
      </c>
      <c r="E759" s="1" t="n">
        <v>46265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60350-2021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44496</v>
      </c>
      <c r="E760" s="1" t="n">
        <v>46265</v>
      </c>
      <c r="F760" t="inlineStr">
        <is>
          <t>KRONOBERGS LÄN</t>
        </is>
      </c>
      <c r="G760" t="inlineStr">
        <is>
          <t>VÄXJÖ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48236-2022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44858</v>
      </c>
      <c r="E761" s="1" t="n">
        <v>46265</v>
      </c>
      <c r="F761" t="inlineStr">
        <is>
          <t>KRONOBERGS LÄN</t>
        </is>
      </c>
      <c r="G761" t="inlineStr">
        <is>
          <t>VÄXJÖ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45791</v>
      </c>
      <c r="E762" s="1" t="n">
        <v>46265</v>
      </c>
      <c r="F762" t="inlineStr">
        <is>
          <t>KRONOBERGS LÄN</t>
        </is>
      </c>
      <c r="G762" t="inlineStr">
        <is>
          <t>VÄXJÖ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63485-2023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45274</v>
      </c>
      <c r="E763" s="1" t="n">
        <v>46265</v>
      </c>
      <c r="F763" t="inlineStr">
        <is>
          <t>KRONOBERGS LÄN</t>
        </is>
      </c>
      <c r="G763" t="inlineStr">
        <is>
          <t>VÄXJÖ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57444-2023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45246</v>
      </c>
      <c r="E764" s="1" t="n">
        <v>46265</v>
      </c>
      <c r="F764" t="inlineStr">
        <is>
          <t>KRONOBERGS LÄN</t>
        </is>
      </c>
      <c r="G764" t="inlineStr">
        <is>
          <t>VÄXJÖ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14989-2025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45743</v>
      </c>
      <c r="E765" s="1" t="n">
        <v>46265</v>
      </c>
      <c r="F765" t="inlineStr">
        <is>
          <t>KRONOBERGS LÄN</t>
        </is>
      </c>
      <c r="G765" t="inlineStr">
        <is>
          <t>VÄXJÖ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17934-2024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45419</v>
      </c>
      <c r="E766" s="1" t="n">
        <v>46265</v>
      </c>
      <c r="F766" t="inlineStr">
        <is>
          <t>KRONOBERGS LÄN</t>
        </is>
      </c>
      <c r="G766" t="inlineStr">
        <is>
          <t>VÄXJÖ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53552-2025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45960</v>
      </c>
      <c r="E767" s="1" t="n">
        <v>46265</v>
      </c>
      <c r="F767" t="inlineStr">
        <is>
          <t>KRONOBERGS LÄN</t>
        </is>
      </c>
      <c r="G767" t="inlineStr">
        <is>
          <t>VÄXJÖ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45198</v>
      </c>
      <c r="E768" s="1" t="n">
        <v>46265</v>
      </c>
      <c r="F768" t="inlineStr">
        <is>
          <t>KRONOBERGS LÄN</t>
        </is>
      </c>
      <c r="G768" t="inlineStr">
        <is>
          <t>VÄXJÖ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60815-2024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46265</v>
      </c>
      <c r="F769" t="inlineStr">
        <is>
          <t>KRONOBERGS LÄN</t>
        </is>
      </c>
      <c r="G769" t="inlineStr">
        <is>
          <t>VÄXJÖ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45128</v>
      </c>
      <c r="E770" s="1" t="n">
        <v>46265</v>
      </c>
      <c r="F770" t="inlineStr">
        <is>
          <t>KRONOBERGS LÄN</t>
        </is>
      </c>
      <c r="G770" t="inlineStr">
        <is>
          <t>VÄXJÖ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45686</v>
      </c>
      <c r="E771" s="1" t="n">
        <v>46265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63910-2023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46265</v>
      </c>
      <c r="F772" t="inlineStr">
        <is>
          <t>KRONOBERGS LÄN</t>
        </is>
      </c>
      <c r="G772" t="inlineStr">
        <is>
          <t>VÄXJÖ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41149-2024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45559</v>
      </c>
      <c r="E773" s="1" t="n">
        <v>46265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42762-2023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46265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45141</v>
      </c>
      <c r="E775" s="1" t="n">
        <v>46265</v>
      </c>
      <c r="F775" t="inlineStr">
        <is>
          <t>KRONOBERGS LÄN</t>
        </is>
      </c>
      <c r="G775" t="inlineStr">
        <is>
          <t>VÄXJÖ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45445-2023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45194</v>
      </c>
      <c r="E776" s="1" t="n">
        <v>46265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1234-2024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45302</v>
      </c>
      <c r="E777" s="1" t="n">
        <v>46265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11265-2025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46265</v>
      </c>
      <c r="F778" t="inlineStr">
        <is>
          <t>KRONOBERGS LÄN</t>
        </is>
      </c>
      <c r="G778" t="inlineStr">
        <is>
          <t>VÄXJÖ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15504-2024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45401</v>
      </c>
      <c r="E779" s="1" t="n">
        <v>46265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57041-2023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45244</v>
      </c>
      <c r="E780" s="1" t="n">
        <v>46265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36390-2023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45152</v>
      </c>
      <c r="E781" s="1" t="n">
        <v>46265</v>
      </c>
      <c r="F781" t="inlineStr">
        <is>
          <t>KRONOBERGS LÄN</t>
        </is>
      </c>
      <c r="G781" t="inlineStr">
        <is>
          <t>VÄXJÖ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45702</v>
      </c>
      <c r="E782" s="1" t="n">
        <v>46265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37755-2024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45541</v>
      </c>
      <c r="E783" s="1" t="n">
        <v>46265</v>
      </c>
      <c r="F783" t="inlineStr">
        <is>
          <t>KRONOBERGS LÄN</t>
        </is>
      </c>
      <c r="G783" t="inlineStr">
        <is>
          <t>VÄXJÖ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45300</v>
      </c>
      <c r="E784" s="1" t="n">
        <v>46265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45300</v>
      </c>
      <c r="E785" s="1" t="n">
        <v>46265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45342</v>
      </c>
      <c r="E786" s="1" t="n">
        <v>46265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45302</v>
      </c>
      <c r="E787" s="1" t="n">
        <v>46265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3879-2024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45322</v>
      </c>
      <c r="E788" s="1" t="n">
        <v>46265</v>
      </c>
      <c r="F788" t="inlineStr">
        <is>
          <t>KRONOBERGS LÄN</t>
        </is>
      </c>
      <c r="G788" t="inlineStr">
        <is>
          <t>VÄXJÖ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32162-2024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45511</v>
      </c>
      <c r="E789" s="1" t="n">
        <v>46265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61354-2022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44915</v>
      </c>
      <c r="E790" s="1" t="n">
        <v>46265</v>
      </c>
      <c r="F790" t="inlineStr">
        <is>
          <t>KRONOBERGS LÄN</t>
        </is>
      </c>
      <c r="G790" t="inlineStr">
        <is>
          <t>VÄXJÖ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14380-2022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44652</v>
      </c>
      <c r="E791" s="1" t="n">
        <v>46265</v>
      </c>
      <c r="F791" t="inlineStr">
        <is>
          <t>KRONOBERGS LÄN</t>
        </is>
      </c>
      <c r="G791" t="inlineStr">
        <is>
          <t>VÄXJÖ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45909</v>
      </c>
      <c r="E792" s="1" t="n">
        <v>46265</v>
      </c>
      <c r="F792" t="inlineStr">
        <is>
          <t>KRONOBERGS LÄN</t>
        </is>
      </c>
      <c r="G792" t="inlineStr">
        <is>
          <t>VÄXJÖ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70671-2021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44537</v>
      </c>
      <c r="E793" s="1" t="n">
        <v>46265</v>
      </c>
      <c r="F793" t="inlineStr">
        <is>
          <t>KRONOBERGS LÄN</t>
        </is>
      </c>
      <c r="G793" t="inlineStr">
        <is>
          <t>VÄXJÖ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8038-2022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44609</v>
      </c>
      <c r="E794" s="1" t="n">
        <v>46265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43279-2023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45183</v>
      </c>
      <c r="E795" s="1" t="n">
        <v>46265</v>
      </c>
      <c r="F795" t="inlineStr">
        <is>
          <t>KRONOBERGS LÄN</t>
        </is>
      </c>
      <c r="G795" t="inlineStr">
        <is>
          <t>VÄXJÖ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32493-2023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45121</v>
      </c>
      <c r="E796" s="1" t="n">
        <v>46265</v>
      </c>
      <c r="F796" t="inlineStr">
        <is>
          <t>KRONOBERGS LÄN</t>
        </is>
      </c>
      <c r="G796" t="inlineStr">
        <is>
          <t>VÄXJÖ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18060-2024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45420</v>
      </c>
      <c r="E797" s="1" t="n">
        <v>46265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59298-2023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45253</v>
      </c>
      <c r="E798" s="1" t="n">
        <v>46265</v>
      </c>
      <c r="F798" t="inlineStr">
        <is>
          <t>KRONOBERGS LÄN</t>
        </is>
      </c>
      <c r="G798" t="inlineStr">
        <is>
          <t>VÄXJÖ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45651-2022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44845</v>
      </c>
      <c r="E799" s="1" t="n">
        <v>46265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46589-2024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45582</v>
      </c>
      <c r="E800" s="1" t="n">
        <v>46265</v>
      </c>
      <c r="F800" t="inlineStr">
        <is>
          <t>KRONOBERGS LÄN</t>
        </is>
      </c>
      <c r="G800" t="inlineStr">
        <is>
          <t>VÄXJÖ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61359-2022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44915</v>
      </c>
      <c r="E801" s="1" t="n">
        <v>46265</v>
      </c>
      <c r="F801" t="inlineStr">
        <is>
          <t>KRONOBERGS LÄN</t>
        </is>
      </c>
      <c r="G801" t="inlineStr">
        <is>
          <t>VÄXJÖ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73647-2021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44552</v>
      </c>
      <c r="E802" s="1" t="n">
        <v>46265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22242-2023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46265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12211-2023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44998</v>
      </c>
      <c r="E804" s="1" t="n">
        <v>46265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4721-2022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44592</v>
      </c>
      <c r="E805" s="1" t="n">
        <v>46265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28570-2023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45103</v>
      </c>
      <c r="E806" s="1" t="n">
        <v>46265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21231-2023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45058</v>
      </c>
      <c r="E807" s="1" t="n">
        <v>46265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2913-2024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45315</v>
      </c>
      <c r="E808" s="1" t="n">
        <v>46265</v>
      </c>
      <c r="F808" t="inlineStr">
        <is>
          <t>KRONOBERGS LÄN</t>
        </is>
      </c>
      <c r="G808" t="inlineStr">
        <is>
          <t>VÄXJÖ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45315</v>
      </c>
      <c r="E809" s="1" t="n">
        <v>46265</v>
      </c>
      <c r="F809" t="inlineStr">
        <is>
          <t>KRONOBERGS LÄN</t>
        </is>
      </c>
      <c r="G809" t="inlineStr">
        <is>
          <t>VÄXJÖ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9001-2023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44979</v>
      </c>
      <c r="E810" s="1" t="n">
        <v>46265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13326-2024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45386</v>
      </c>
      <c r="E811" s="1" t="n">
        <v>46265</v>
      </c>
      <c r="F811" t="inlineStr">
        <is>
          <t>KRONOBERGS LÄN</t>
        </is>
      </c>
      <c r="G811" t="inlineStr">
        <is>
          <t>VÄXJÖ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9358-2024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45359</v>
      </c>
      <c r="E812" s="1" t="n">
        <v>46265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5276-2023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44959</v>
      </c>
      <c r="E813" s="1" t="n">
        <v>46265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49000-2024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45594</v>
      </c>
      <c r="E814" s="1" t="n">
        <v>46265</v>
      </c>
      <c r="F814" t="inlineStr">
        <is>
          <t>KRONOBERGS LÄN</t>
        </is>
      </c>
      <c r="G814" t="inlineStr">
        <is>
          <t>VÄXJÖ</t>
        </is>
      </c>
      <c r="H814" t="inlineStr">
        <is>
          <t>Sveaskog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49003-2024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45594</v>
      </c>
      <c r="E815" s="1" t="n">
        <v>46265</v>
      </c>
      <c r="F815" t="inlineStr">
        <is>
          <t>KRONOBERGS LÄN</t>
        </is>
      </c>
      <c r="G815" t="inlineStr">
        <is>
          <t>VÄXJÖ</t>
        </is>
      </c>
      <c r="H815" t="inlineStr">
        <is>
          <t>Sveaskog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49006-2024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45594</v>
      </c>
      <c r="E816" s="1" t="n">
        <v>46265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53713-2023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45230</v>
      </c>
      <c r="E817" s="1" t="n">
        <v>46265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45100-2022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44843</v>
      </c>
      <c r="E818" s="1" t="n">
        <v>46265</v>
      </c>
      <c r="F818" t="inlineStr">
        <is>
          <t>KRONOBERGS LÄN</t>
        </is>
      </c>
      <c r="G818" t="inlineStr">
        <is>
          <t>VÄXJÖ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56952-2022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44894</v>
      </c>
      <c r="E819" s="1" t="n">
        <v>46265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57159-2023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45245</v>
      </c>
      <c r="E820" s="1" t="n">
        <v>46265</v>
      </c>
      <c r="F820" t="inlineStr">
        <is>
          <t>KRONOBERGS LÄN</t>
        </is>
      </c>
      <c r="G820" t="inlineStr">
        <is>
          <t>VÄXJÖ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5943-2023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44963</v>
      </c>
      <c r="E821" s="1" t="n">
        <v>46265</v>
      </c>
      <c r="F821" t="inlineStr">
        <is>
          <t>KRONOBERGS LÄN</t>
        </is>
      </c>
      <c r="G821" t="inlineStr">
        <is>
          <t>VÄXJÖ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49975-2024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45597</v>
      </c>
      <c r="E822" s="1" t="n">
        <v>46265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51394-2023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45219</v>
      </c>
      <c r="E823" s="1" t="n">
        <v>46265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21046-2023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45061</v>
      </c>
      <c r="E824" s="1" t="n">
        <v>46265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44175-2024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45572</v>
      </c>
      <c r="E825" s="1" t="n">
        <v>46265</v>
      </c>
      <c r="F825" t="inlineStr">
        <is>
          <t>KRONOBERGS LÄN</t>
        </is>
      </c>
      <c r="G825" t="inlineStr">
        <is>
          <t>VÄXJÖ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1470-2024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45304</v>
      </c>
      <c r="E826" s="1" t="n">
        <v>46265</v>
      </c>
      <c r="F826" t="inlineStr">
        <is>
          <t>KRONOBERGS LÄN</t>
        </is>
      </c>
      <c r="G826" t="inlineStr">
        <is>
          <t>VÄXJÖ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16449-2023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45029</v>
      </c>
      <c r="E827" s="1" t="n">
        <v>46265</v>
      </c>
      <c r="F827" t="inlineStr">
        <is>
          <t>KRONOBERGS LÄN</t>
        </is>
      </c>
      <c r="G827" t="inlineStr">
        <is>
          <t>VÄXJÖ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11271-2023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44992</v>
      </c>
      <c r="E828" s="1" t="n">
        <v>46265</v>
      </c>
      <c r="F828" t="inlineStr">
        <is>
          <t>KRONOBERGS LÄN</t>
        </is>
      </c>
      <c r="G828" t="inlineStr">
        <is>
          <t>VÄXJÖ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39761-2024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45552</v>
      </c>
      <c r="E829" s="1" t="n">
        <v>46265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46830-2023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45199</v>
      </c>
      <c r="E830" s="1" t="n">
        <v>46265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42705-2023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45181</v>
      </c>
      <c r="E831" s="1" t="n">
        <v>46265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45147</v>
      </c>
      <c r="E832" s="1" t="n">
        <v>46265</v>
      </c>
      <c r="F832" t="inlineStr">
        <is>
          <t>KRONOBERGS LÄN</t>
        </is>
      </c>
      <c r="G832" t="inlineStr">
        <is>
          <t>VÄXJÖ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29103-2023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45105</v>
      </c>
      <c r="E833" s="1" t="n">
        <v>46265</v>
      </c>
      <c r="F833" t="inlineStr">
        <is>
          <t>KRONOBERGS LÄN</t>
        </is>
      </c>
      <c r="G833" t="inlineStr">
        <is>
          <t>VÄXJÖ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61585-2021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44501</v>
      </c>
      <c r="E834" s="1" t="n">
        <v>46265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40621-2024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45557</v>
      </c>
      <c r="E835" s="1" t="n">
        <v>46265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4318-2024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45324</v>
      </c>
      <c r="E836" s="1" t="n">
        <v>46265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40069-2025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45894</v>
      </c>
      <c r="E837" s="1" t="n">
        <v>46265</v>
      </c>
      <c r="F837" t="inlineStr">
        <is>
          <t>KRONOBERGS LÄN</t>
        </is>
      </c>
      <c r="G837" t="inlineStr">
        <is>
          <t>VÄXJÖ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40249-2024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45554</v>
      </c>
      <c r="E838" s="1" t="n">
        <v>46265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30439-2022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44761</v>
      </c>
      <c r="E839" s="1" t="n">
        <v>46265</v>
      </c>
      <c r="F839" t="inlineStr">
        <is>
          <t>KRONOBERGS LÄN</t>
        </is>
      </c>
      <c r="G839" t="inlineStr">
        <is>
          <t>VÄXJÖ</t>
        </is>
      </c>
      <c r="H839" t="inlineStr">
        <is>
          <t>Kyrkan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26139-2024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45468</v>
      </c>
      <c r="E840" s="1" t="n">
        <v>46265</v>
      </c>
      <c r="F840" t="inlineStr">
        <is>
          <t>KRONOBERGS LÄN</t>
        </is>
      </c>
      <c r="G840" t="inlineStr">
        <is>
          <t>VÄXJÖ</t>
        </is>
      </c>
      <c r="I840" t="n">
        <v>12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20478-2023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45057</v>
      </c>
      <c r="E841" s="1" t="n">
        <v>46265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19074-2024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45427</v>
      </c>
      <c r="E842" s="1" t="n">
        <v>46265</v>
      </c>
      <c r="F842" t="inlineStr">
        <is>
          <t>KRONOBERGS LÄN</t>
        </is>
      </c>
      <c r="G842" t="inlineStr">
        <is>
          <t>VÄXJÖ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15223-2024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45400</v>
      </c>
      <c r="E843" s="1" t="n">
        <v>46265</v>
      </c>
      <c r="F843" t="inlineStr">
        <is>
          <t>KRONOBERGS LÄN</t>
        </is>
      </c>
      <c r="G843" t="inlineStr">
        <is>
          <t>VÄXJÖ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49026-2024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45594</v>
      </c>
      <c r="E844" s="1" t="n">
        <v>46265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22213-2024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45446</v>
      </c>
      <c r="E845" s="1" t="n">
        <v>46265</v>
      </c>
      <c r="F845" t="inlineStr">
        <is>
          <t>KRONOBERGS LÄN</t>
        </is>
      </c>
      <c r="G845" t="inlineStr">
        <is>
          <t>VÄXJÖ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8571-2023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44977</v>
      </c>
      <c r="E846" s="1" t="n">
        <v>46265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14427-2023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45009</v>
      </c>
      <c r="E847" s="1" t="n">
        <v>46265</v>
      </c>
      <c r="F847" t="inlineStr">
        <is>
          <t>KRONOBERGS LÄN</t>
        </is>
      </c>
      <c r="G847" t="inlineStr">
        <is>
          <t>VÄXJÖ</t>
        </is>
      </c>
      <c r="H847" t="inlineStr">
        <is>
          <t>Kyrkan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45679</v>
      </c>
      <c r="E848" s="1" t="n">
        <v>46265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6809-2022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44602</v>
      </c>
      <c r="E849" s="1" t="n">
        <v>46265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25569-2022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44732</v>
      </c>
      <c r="E850" s="1" t="n">
        <v>46265</v>
      </c>
      <c r="F850" t="inlineStr">
        <is>
          <t>KRONOBERGS LÄN</t>
        </is>
      </c>
      <c r="G850" t="inlineStr">
        <is>
          <t>VÄXJÖ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41826-2023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45176</v>
      </c>
      <c r="E851" s="1" t="n">
        <v>46265</v>
      </c>
      <c r="F851" t="inlineStr">
        <is>
          <t>KRONOBERGS LÄN</t>
        </is>
      </c>
      <c r="G851" t="inlineStr">
        <is>
          <t>VÄXJÖ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4423-2023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44956</v>
      </c>
      <c r="E852" s="1" t="n">
        <v>46265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45281</v>
      </c>
      <c r="E853" s="1" t="n">
        <v>46265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66863-2021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44522</v>
      </c>
      <c r="E854" s="1" t="n">
        <v>46265</v>
      </c>
      <c r="F854" t="inlineStr">
        <is>
          <t>KRONOBERGS LÄN</t>
        </is>
      </c>
      <c r="G854" t="inlineStr">
        <is>
          <t>VÄXJÖ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25806-2023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45090</v>
      </c>
      <c r="E855" s="1" t="n">
        <v>46265</v>
      </c>
      <c r="F855" t="inlineStr">
        <is>
          <t>KRONOBERGS LÄN</t>
        </is>
      </c>
      <c r="G855" t="inlineStr">
        <is>
          <t>VÄXJÖ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15218-2023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45019</v>
      </c>
      <c r="E856" s="1" t="n">
        <v>46265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53188-2024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45611</v>
      </c>
      <c r="E857" s="1" t="n">
        <v>46265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2657-2025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45676</v>
      </c>
      <c r="E858" s="1" t="n">
        <v>46265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38457-2023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45162</v>
      </c>
      <c r="E859" s="1" t="n">
        <v>46265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38460-2023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45162</v>
      </c>
      <c r="E860" s="1" t="n">
        <v>46265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46214-2024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45581</v>
      </c>
      <c r="E861" s="1" t="n">
        <v>46265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31309-2024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45504</v>
      </c>
      <c r="E862" s="1" t="n">
        <v>46265</v>
      </c>
      <c r="F862" t="inlineStr">
        <is>
          <t>KRONOBERGS LÄN</t>
        </is>
      </c>
      <c r="G862" t="inlineStr">
        <is>
          <t>VÄXJÖ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62164-2021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44502</v>
      </c>
      <c r="E863" s="1" t="n">
        <v>46265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45049</v>
      </c>
      <c r="E864" s="1" t="n">
        <v>46265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57367-2022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44896</v>
      </c>
      <c r="E865" s="1" t="n">
        <v>46265</v>
      </c>
      <c r="F865" t="inlineStr">
        <is>
          <t>KRONOBERGS LÄN</t>
        </is>
      </c>
      <c r="G865" t="inlineStr">
        <is>
          <t>VÄXJÖ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45665</v>
      </c>
      <c r="E866" s="1" t="n">
        <v>46265</v>
      </c>
      <c r="F866" t="inlineStr">
        <is>
          <t>KRONOBERGS LÄN</t>
        </is>
      </c>
      <c r="G866" t="inlineStr">
        <is>
          <t>VÄXJÖ</t>
        </is>
      </c>
      <c r="I866" t="n">
        <v>12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18381-2025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45762</v>
      </c>
      <c r="E867" s="1" t="n">
        <v>46265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36522-2023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45153</v>
      </c>
      <c r="E868" s="1" t="n">
        <v>46265</v>
      </c>
      <c r="F868" t="inlineStr">
        <is>
          <t>KRONOBERGS LÄN</t>
        </is>
      </c>
      <c r="G868" t="inlineStr">
        <is>
          <t>VÄXJÖ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45679</v>
      </c>
      <c r="E869" s="1" t="n">
        <v>46265</v>
      </c>
      <c r="F869" t="inlineStr">
        <is>
          <t>KRONOBERGS LÄN</t>
        </is>
      </c>
      <c r="G869" t="inlineStr">
        <is>
          <t>VÄXJÖ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45296</v>
      </c>
      <c r="E870" s="1" t="n">
        <v>46265</v>
      </c>
      <c r="F870" t="inlineStr">
        <is>
          <t>KRONOBERGS LÄN</t>
        </is>
      </c>
      <c r="G870" t="inlineStr">
        <is>
          <t>VÄXJÖ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54616-2024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46265</v>
      </c>
      <c r="F871" t="inlineStr">
        <is>
          <t>KRONOBERGS LÄN</t>
        </is>
      </c>
      <c r="G871" t="inlineStr">
        <is>
          <t>VÄXJÖ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19152-2025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45769</v>
      </c>
      <c r="E872" s="1" t="n">
        <v>46265</v>
      </c>
      <c r="F872" t="inlineStr">
        <is>
          <t>KRONOBERGS LÄN</t>
        </is>
      </c>
      <c r="G872" t="inlineStr">
        <is>
          <t>VÄXJÖ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18694-2022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44687</v>
      </c>
      <c r="E873" s="1" t="n">
        <v>46265</v>
      </c>
      <c r="F873" t="inlineStr">
        <is>
          <t>KRONOBERGS LÄN</t>
        </is>
      </c>
      <c r="G873" t="inlineStr">
        <is>
          <t>VÄXJÖ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49619-2023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45211</v>
      </c>
      <c r="E874" s="1" t="n">
        <v>46265</v>
      </c>
      <c r="F874" t="inlineStr">
        <is>
          <t>KRONOBERGS LÄN</t>
        </is>
      </c>
      <c r="G874" t="inlineStr">
        <is>
          <t>VÄXJÖ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58155-2024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45632</v>
      </c>
      <c r="E875" s="1" t="n">
        <v>46265</v>
      </c>
      <c r="F875" t="inlineStr">
        <is>
          <t>KRONOBERGS LÄN</t>
        </is>
      </c>
      <c r="G875" t="inlineStr">
        <is>
          <t>VÄXJÖ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54256-2023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45232</v>
      </c>
      <c r="E876" s="1" t="n">
        <v>46265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34456-2023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45139</v>
      </c>
      <c r="E877" s="1" t="n">
        <v>46265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11643-2024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45373</v>
      </c>
      <c r="E878" s="1" t="n">
        <v>46265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22736-2024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45448</v>
      </c>
      <c r="E879" s="1" t="n">
        <v>46265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15935-2023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45022</v>
      </c>
      <c r="E880" s="1" t="n">
        <v>46265</v>
      </c>
      <c r="F880" t="inlineStr">
        <is>
          <t>KRONOBERGS LÄN</t>
        </is>
      </c>
      <c r="G880" t="inlineStr">
        <is>
          <t>VÄXJÖ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45693</v>
      </c>
      <c r="E881" s="1" t="n">
        <v>46265</v>
      </c>
      <c r="F881" t="inlineStr">
        <is>
          <t>KRONOBERGS LÄN</t>
        </is>
      </c>
      <c r="G881" t="inlineStr">
        <is>
          <t>VÄXJÖ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40525-2024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45555</v>
      </c>
      <c r="E882" s="1" t="n">
        <v>46265</v>
      </c>
      <c r="F882" t="inlineStr">
        <is>
          <t>KRONOBERGS LÄN</t>
        </is>
      </c>
      <c r="G882" t="inlineStr">
        <is>
          <t>VÄXJÖ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45309</v>
      </c>
      <c r="E883" s="1" t="n">
        <v>46265</v>
      </c>
      <c r="F883" t="inlineStr">
        <is>
          <t>KRONOBERGS LÄN</t>
        </is>
      </c>
      <c r="G883" t="inlineStr">
        <is>
          <t>VÄXJÖ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45309</v>
      </c>
      <c r="E884" s="1" t="n">
        <v>46265</v>
      </c>
      <c r="F884" t="inlineStr">
        <is>
          <t>KRONOBERGS LÄN</t>
        </is>
      </c>
      <c r="G884" t="inlineStr">
        <is>
          <t>VÄXJÖ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45108</v>
      </c>
      <c r="E885" s="1" t="n">
        <v>46265</v>
      </c>
      <c r="F885" t="inlineStr">
        <is>
          <t>KRONOBERGS LÄN</t>
        </is>
      </c>
      <c r="G885" t="inlineStr">
        <is>
          <t>VÄXJÖ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40210-2023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45169</v>
      </c>
      <c r="E886" s="1" t="n">
        <v>46265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52106-2024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45608</v>
      </c>
      <c r="E887" s="1" t="n">
        <v>46265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48228-2023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45205</v>
      </c>
      <c r="E888" s="1" t="n">
        <v>46265</v>
      </c>
      <c r="F888" t="inlineStr">
        <is>
          <t>KRONOBERGS LÄN</t>
        </is>
      </c>
      <c r="G888" t="inlineStr">
        <is>
          <t>VÄXJÖ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45329</v>
      </c>
      <c r="E889" s="1" t="n">
        <v>46265</v>
      </c>
      <c r="F889" t="inlineStr">
        <is>
          <t>KRONOBERGS LÄN</t>
        </is>
      </c>
      <c r="G889" t="inlineStr">
        <is>
          <t>VÄXJÖ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22241-2023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45070</v>
      </c>
      <c r="E890" s="1" t="n">
        <v>46265</v>
      </c>
      <c r="F890" t="inlineStr">
        <is>
          <t>KRONOBERGS LÄN</t>
        </is>
      </c>
      <c r="G890" t="inlineStr">
        <is>
          <t>VÄXJÖ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44577</v>
      </c>
      <c r="E891" s="1" t="n">
        <v>46265</v>
      </c>
      <c r="F891" t="inlineStr">
        <is>
          <t>KRONOBERGS LÄN</t>
        </is>
      </c>
      <c r="G891" t="inlineStr">
        <is>
          <t>VÄXJÖ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57932-2022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44900</v>
      </c>
      <c r="E892" s="1" t="n">
        <v>46265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58020-2022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44900</v>
      </c>
      <c r="E893" s="1" t="n">
        <v>46265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69748-2021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44532</v>
      </c>
      <c r="E894" s="1" t="n">
        <v>46265</v>
      </c>
      <c r="F894" t="inlineStr">
        <is>
          <t>KRONOBERGS LÄN</t>
        </is>
      </c>
      <c r="G894" t="inlineStr">
        <is>
          <t>VÄXJÖ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42758-2023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45181</v>
      </c>
      <c r="E895" s="1" t="n">
        <v>46265</v>
      </c>
      <c r="F895" t="inlineStr">
        <is>
          <t>KRONOBERGS LÄN</t>
        </is>
      </c>
      <c r="G895" t="inlineStr">
        <is>
          <t>VÄXJÖ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21191-2026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46146</v>
      </c>
      <c r="E896" s="1" t="n">
        <v>46265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21197-2026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46146</v>
      </c>
      <c r="E897" s="1" t="n">
        <v>46265</v>
      </c>
      <c r="F897" t="inlineStr">
        <is>
          <t>KRONOBERGS LÄN</t>
        </is>
      </c>
      <c r="G897" t="inlineStr">
        <is>
          <t>VÄXJÖ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46146</v>
      </c>
      <c r="E898" s="1" t="n">
        <v>46265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1096-2023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44929</v>
      </c>
      <c r="E899" s="1" t="n">
        <v>46265</v>
      </c>
      <c r="F899" t="inlineStr">
        <is>
          <t>KRONOBERGS LÄN</t>
        </is>
      </c>
      <c r="G899" t="inlineStr">
        <is>
          <t>VÄXJÖ</t>
        </is>
      </c>
      <c r="H899" t="inlineStr">
        <is>
          <t>Kyrkan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21336-2026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46147</v>
      </c>
      <c r="E900" s="1" t="n">
        <v>46265</v>
      </c>
      <c r="F900" t="inlineStr">
        <is>
          <t>KRONOBERGS LÄN</t>
        </is>
      </c>
      <c r="G900" t="inlineStr">
        <is>
          <t>VÄXJÖ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21339-2026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46147</v>
      </c>
      <c r="E901" s="1" t="n">
        <v>46265</v>
      </c>
      <c r="F901" t="inlineStr">
        <is>
          <t>KRONOBERGS LÄN</t>
        </is>
      </c>
      <c r="G901" t="inlineStr">
        <is>
          <t>VÄXJÖ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21426-2026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46148</v>
      </c>
      <c r="E902" s="1" t="n">
        <v>46265</v>
      </c>
      <c r="F902" t="inlineStr">
        <is>
          <t>KRONOBERGS LÄN</t>
        </is>
      </c>
      <c r="G902" t="inlineStr">
        <is>
          <t>VÄXJÖ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14883-2022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44656</v>
      </c>
      <c r="E903" s="1" t="n">
        <v>46265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21347-2026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46147</v>
      </c>
      <c r="E904" s="1" t="n">
        <v>46265</v>
      </c>
      <c r="F904" t="inlineStr">
        <is>
          <t>KRONOBERGS LÄN</t>
        </is>
      </c>
      <c r="G904" t="inlineStr">
        <is>
          <t>VÄXJÖ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21324-2026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46147</v>
      </c>
      <c r="E905" s="1" t="n">
        <v>46265</v>
      </c>
      <c r="F905" t="inlineStr">
        <is>
          <t>KRONOBERGS LÄN</t>
        </is>
      </c>
      <c r="G905" t="inlineStr">
        <is>
          <t>VÄXJÖ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14743-2024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45397</v>
      </c>
      <c r="E906" s="1" t="n">
        <v>46265</v>
      </c>
      <c r="F906" t="inlineStr">
        <is>
          <t>KRONOBERGS LÄN</t>
        </is>
      </c>
      <c r="G906" t="inlineStr">
        <is>
          <t>VÄXJÖ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21344-2026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46147</v>
      </c>
      <c r="E907" s="1" t="n">
        <v>46265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21990-2024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45443</v>
      </c>
      <c r="E908" s="1" t="n">
        <v>46265</v>
      </c>
      <c r="F908" t="inlineStr">
        <is>
          <t>KRONOBERGS LÄN</t>
        </is>
      </c>
      <c r="G908" t="inlineStr">
        <is>
          <t>VÄXJÖ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45147</v>
      </c>
      <c r="E909" s="1" t="n">
        <v>46265</v>
      </c>
      <c r="F909" t="inlineStr">
        <is>
          <t>KRONOBERGS LÄN</t>
        </is>
      </c>
      <c r="G909" t="inlineStr">
        <is>
          <t>VÄXJÖ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50643-2023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45217</v>
      </c>
      <c r="E910" s="1" t="n">
        <v>46265</v>
      </c>
      <c r="F910" t="inlineStr">
        <is>
          <t>KRONOBERGS LÄN</t>
        </is>
      </c>
      <c r="G910" t="inlineStr">
        <is>
          <t>VÄXJÖ</t>
        </is>
      </c>
      <c r="I910" t="n">
        <v>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42361-2022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44831</v>
      </c>
      <c r="E911" s="1" t="n">
        <v>46265</v>
      </c>
      <c r="F911" t="inlineStr">
        <is>
          <t>KRONOBERGS LÄN</t>
        </is>
      </c>
      <c r="G911" t="inlineStr">
        <is>
          <t>VÄXJÖ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45514-2023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45194</v>
      </c>
      <c r="E912" s="1" t="n">
        <v>46265</v>
      </c>
      <c r="F912" t="inlineStr">
        <is>
          <t>KRONOBERGS LÄN</t>
        </is>
      </c>
      <c r="G912" t="inlineStr">
        <is>
          <t>VÄXJÖ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51190-2023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45219</v>
      </c>
      <c r="E913" s="1" t="n">
        <v>46265</v>
      </c>
      <c r="F913" t="inlineStr">
        <is>
          <t>KRONOBERGS LÄN</t>
        </is>
      </c>
      <c r="G913" t="inlineStr">
        <is>
          <t>VÄXJÖ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64083-2025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46021</v>
      </c>
      <c r="E914" s="1" t="n">
        <v>46265</v>
      </c>
      <c r="F914" t="inlineStr">
        <is>
          <t>KRONOBERGS LÄN</t>
        </is>
      </c>
      <c r="G914" t="inlineStr">
        <is>
          <t>VÄXJÖ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21750-2026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46265</v>
      </c>
      <c r="F915" t="inlineStr">
        <is>
          <t>KRONOBERGS LÄN</t>
        </is>
      </c>
      <c r="G915" t="inlineStr">
        <is>
          <t>VÄXJÖ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64295-2023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45280</v>
      </c>
      <c r="E916" s="1" t="n">
        <v>46265</v>
      </c>
      <c r="F916" t="inlineStr">
        <is>
          <t>KRONOBERGS LÄN</t>
        </is>
      </c>
      <c r="G916" t="inlineStr">
        <is>
          <t>VÄXJÖ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64120-2025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46021</v>
      </c>
      <c r="E917" s="1" t="n">
        <v>46265</v>
      </c>
      <c r="F917" t="inlineStr">
        <is>
          <t>KRONOBERGS LÄN</t>
        </is>
      </c>
      <c r="G917" t="inlineStr">
        <is>
          <t>VÄXJÖ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7720-2025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46265</v>
      </c>
      <c r="F918" t="inlineStr">
        <is>
          <t>KRONOBERGS LÄN</t>
        </is>
      </c>
      <c r="G918" t="inlineStr">
        <is>
          <t>VÄXJÖ</t>
        </is>
      </c>
      <c r="H918" t="inlineStr">
        <is>
          <t>Kyrkan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46153</v>
      </c>
      <c r="E919" s="1" t="n">
        <v>46265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15175-2023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45016</v>
      </c>
      <c r="E920" s="1" t="n">
        <v>46265</v>
      </c>
      <c r="F920" t="inlineStr">
        <is>
          <t>KRONOBERGS LÄN</t>
        </is>
      </c>
      <c r="G920" t="inlineStr">
        <is>
          <t>VÄXJÖ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21023-2023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45061</v>
      </c>
      <c r="E921" s="1" t="n">
        <v>46265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41500-2024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45560</v>
      </c>
      <c r="E922" s="1" t="n">
        <v>46265</v>
      </c>
      <c r="F922" t="inlineStr">
        <is>
          <t>KRONOBERGS LÄN</t>
        </is>
      </c>
      <c r="G922" t="inlineStr">
        <is>
          <t>VÄXJÖ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60119-2022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44909</v>
      </c>
      <c r="E923" s="1" t="n">
        <v>46265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60650-2025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45995</v>
      </c>
      <c r="E924" s="1" t="n">
        <v>46265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33075-2024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45517</v>
      </c>
      <c r="E925" s="1" t="n">
        <v>46265</v>
      </c>
      <c r="F925" t="inlineStr">
        <is>
          <t>KRONOBERGS LÄN</t>
        </is>
      </c>
      <c r="G925" t="inlineStr">
        <is>
          <t>VÄXJÖ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10246-2023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44986</v>
      </c>
      <c r="E926" s="1" t="n">
        <v>46265</v>
      </c>
      <c r="F926" t="inlineStr">
        <is>
          <t>KRONOBERGS LÄN</t>
        </is>
      </c>
      <c r="G926" t="inlineStr">
        <is>
          <t>VÄXJÖ</t>
        </is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4362-2025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45686</v>
      </c>
      <c r="E927" s="1" t="n">
        <v>46265</v>
      </c>
      <c r="F927" t="inlineStr">
        <is>
          <t>KRONOBERGS LÄN</t>
        </is>
      </c>
      <c r="G927" t="inlineStr">
        <is>
          <t>VÄXJÖ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13840-2025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45737</v>
      </c>
      <c r="E928" s="1" t="n">
        <v>46265</v>
      </c>
      <c r="F928" t="inlineStr">
        <is>
          <t>KRONOBERGS LÄN</t>
        </is>
      </c>
      <c r="G928" t="inlineStr">
        <is>
          <t>VÄXJÖ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52167-2023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45224</v>
      </c>
      <c r="E929" s="1" t="n">
        <v>46265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45304</v>
      </c>
      <c r="E930" s="1" t="n">
        <v>46265</v>
      </c>
      <c r="F930" t="inlineStr">
        <is>
          <t>KRONOBERGS LÄN</t>
        </is>
      </c>
      <c r="G930" t="inlineStr">
        <is>
          <t>VÄXJÖ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57834-2024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45631</v>
      </c>
      <c r="E931" s="1" t="n">
        <v>46265</v>
      </c>
      <c r="F931" t="inlineStr">
        <is>
          <t>KRONOBERGS LÄN</t>
        </is>
      </c>
      <c r="G931" t="inlineStr">
        <is>
          <t>VÄXJÖ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22766-2025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45789</v>
      </c>
      <c r="E932" s="1" t="n">
        <v>46265</v>
      </c>
      <c r="F932" t="inlineStr">
        <is>
          <t>KRONOBERGS LÄN</t>
        </is>
      </c>
      <c r="G932" t="inlineStr">
        <is>
          <t>VÄXJÖ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57023-2023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45244</v>
      </c>
      <c r="E933" s="1" t="n">
        <v>46265</v>
      </c>
      <c r="F933" t="inlineStr">
        <is>
          <t>KRONOBERGS LÄN</t>
        </is>
      </c>
      <c r="G933" t="inlineStr">
        <is>
          <t>VÄXJÖ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58134-2023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45250</v>
      </c>
      <c r="E934" s="1" t="n">
        <v>46265</v>
      </c>
      <c r="F934" t="inlineStr">
        <is>
          <t>KRONOBERGS LÄN</t>
        </is>
      </c>
      <c r="G934" t="inlineStr">
        <is>
          <t>VÄXJÖ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40618-2024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45557</v>
      </c>
      <c r="E935" s="1" t="n">
        <v>46265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45741-2024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45579</v>
      </c>
      <c r="E936" s="1" t="n">
        <v>46265</v>
      </c>
      <c r="F936" t="inlineStr">
        <is>
          <t>KRONOBERGS LÄN</t>
        </is>
      </c>
      <c r="G936" t="inlineStr">
        <is>
          <t>VÄXJÖ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35934-2024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45533</v>
      </c>
      <c r="E937" s="1" t="n">
        <v>46265</v>
      </c>
      <c r="F937" t="inlineStr">
        <is>
          <t>KRONOBERGS LÄN</t>
        </is>
      </c>
      <c r="G937" t="inlineStr">
        <is>
          <t>VÄXJÖ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45579-2024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45579</v>
      </c>
      <c r="E938" s="1" t="n">
        <v>46265</v>
      </c>
      <c r="F938" t="inlineStr">
        <is>
          <t>KRONOBERGS LÄN</t>
        </is>
      </c>
      <c r="G938" t="inlineStr">
        <is>
          <t>VÄXJÖ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7154-2025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45702</v>
      </c>
      <c r="E939" s="1" t="n">
        <v>46265</v>
      </c>
      <c r="F939" t="inlineStr">
        <is>
          <t>KRONOBERGS LÄN</t>
        </is>
      </c>
      <c r="G939" t="inlineStr">
        <is>
          <t>VÄXJÖ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39122-2023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45165</v>
      </c>
      <c r="E940" s="1" t="n">
        <v>46265</v>
      </c>
      <c r="F940" t="inlineStr">
        <is>
          <t>KRONOBERGS LÄN</t>
        </is>
      </c>
      <c r="G940" t="inlineStr">
        <is>
          <t>VÄXJÖ</t>
        </is>
      </c>
      <c r="I940" t="n">
        <v>4.9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14737-2024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45397</v>
      </c>
      <c r="E941" s="1" t="n">
        <v>46265</v>
      </c>
      <c r="F941" t="inlineStr">
        <is>
          <t>KRONOBERGS LÄN</t>
        </is>
      </c>
      <c r="G941" t="inlineStr">
        <is>
          <t>VÄXJÖ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46576-2023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45194</v>
      </c>
      <c r="E942" s="1" t="n">
        <v>46265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38895-2024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45547</v>
      </c>
      <c r="E943" s="1" t="n">
        <v>46265</v>
      </c>
      <c r="F943" t="inlineStr">
        <is>
          <t>KRONOBERGS LÄN</t>
        </is>
      </c>
      <c r="G943" t="inlineStr">
        <is>
          <t>VÄXJÖ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21011-2025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45777</v>
      </c>
      <c r="E944" s="1" t="n">
        <v>46265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33526-2024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45519</v>
      </c>
      <c r="E945" s="1" t="n">
        <v>46265</v>
      </c>
      <c r="F945" t="inlineStr">
        <is>
          <t>KRONOBERGS LÄN</t>
        </is>
      </c>
      <c r="G945" t="inlineStr">
        <is>
          <t>VÄXJÖ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21010-2025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45777</v>
      </c>
      <c r="E946" s="1" t="n">
        <v>46265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21008-2025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45777</v>
      </c>
      <c r="E947" s="1" t="n">
        <v>46265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55958-2024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45623</v>
      </c>
      <c r="E948" s="1" t="n">
        <v>46265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46161</v>
      </c>
      <c r="E949" s="1" t="n">
        <v>46265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23346-2026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46162</v>
      </c>
      <c r="E950" s="1" t="n">
        <v>46265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23354-2026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46162</v>
      </c>
      <c r="E951" s="1" t="n">
        <v>46265</v>
      </c>
      <c r="F951" t="inlineStr">
        <is>
          <t>KRONOBERGS LÄN</t>
        </is>
      </c>
      <c r="G951" t="inlineStr">
        <is>
          <t>VÄXJÖ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23350-2026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46162</v>
      </c>
      <c r="E952" s="1" t="n">
        <v>46265</v>
      </c>
      <c r="F952" t="inlineStr">
        <is>
          <t>KRONOBERGS LÄN</t>
        </is>
      </c>
      <c r="G952" t="inlineStr">
        <is>
          <t>VÄXJÖ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45780</v>
      </c>
      <c r="E953" s="1" t="n">
        <v>46265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23358-2026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46162</v>
      </c>
      <c r="E954" s="1" t="n">
        <v>46265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10070-2025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45719</v>
      </c>
      <c r="E955" s="1" t="n">
        <v>46265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23534-2026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46163</v>
      </c>
      <c r="E956" s="1" t="n">
        <v>46265</v>
      </c>
      <c r="F956" t="inlineStr">
        <is>
          <t>KRONOBERGS LÄN</t>
        </is>
      </c>
      <c r="G956" t="inlineStr">
        <is>
          <t>VÄXJÖ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23524-2026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46163</v>
      </c>
      <c r="E957" s="1" t="n">
        <v>46265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23526-2026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46163</v>
      </c>
      <c r="E958" s="1" t="n">
        <v>46265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23530-2026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46163</v>
      </c>
      <c r="E959" s="1" t="n">
        <v>46265</v>
      </c>
      <c r="F959" t="inlineStr">
        <is>
          <t>KRONOBERGS LÄN</t>
        </is>
      </c>
      <c r="G959" t="inlineStr">
        <is>
          <t>VÄXJÖ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27266-2025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45812</v>
      </c>
      <c r="E960" s="1" t="n">
        <v>46265</v>
      </c>
      <c r="F960" t="inlineStr">
        <is>
          <t>KRONOBERGS LÄN</t>
        </is>
      </c>
      <c r="G960" t="inlineStr">
        <is>
          <t>VÄXJÖ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23522-2026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46163</v>
      </c>
      <c r="E961" s="1" t="n">
        <v>46265</v>
      </c>
      <c r="F961" t="inlineStr">
        <is>
          <t>KRONOBERGS LÄN</t>
        </is>
      </c>
      <c r="G961" t="inlineStr">
        <is>
          <t>VÄXJÖ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23528-2026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46265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24101-2026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46168</v>
      </c>
      <c r="E963" s="1" t="n">
        <v>46265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48159-2025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45933</v>
      </c>
      <c r="E964" s="1" t="n">
        <v>46265</v>
      </c>
      <c r="F964" t="inlineStr">
        <is>
          <t>KRONOBERGS LÄN</t>
        </is>
      </c>
      <c r="G964" t="inlineStr">
        <is>
          <t>VÄXJÖ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23849-2026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46167</v>
      </c>
      <c r="E965" s="1" t="n">
        <v>46265</v>
      </c>
      <c r="F965" t="inlineStr">
        <is>
          <t>KRONOBERGS LÄN</t>
        </is>
      </c>
      <c r="G965" t="inlineStr">
        <is>
          <t>VÄXJÖ</t>
        </is>
      </c>
      <c r="I965" t="n">
        <v>8.800000000000001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24100-2026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46168</v>
      </c>
      <c r="E966" s="1" t="n">
        <v>46265</v>
      </c>
      <c r="F966" t="inlineStr">
        <is>
          <t>KRONOBERGS LÄN</t>
        </is>
      </c>
      <c r="G966" t="inlineStr">
        <is>
          <t>VÄXJÖ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14347-2026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46265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50438-2023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45216</v>
      </c>
      <c r="E968" s="1" t="n">
        <v>46265</v>
      </c>
      <c r="F968" t="inlineStr">
        <is>
          <t>KRONOBERGS LÄN</t>
        </is>
      </c>
      <c r="G968" t="inlineStr">
        <is>
          <t>VÄXJÖ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16600-2026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46265</v>
      </c>
      <c r="F969" t="inlineStr">
        <is>
          <t>KRONOBERGS LÄN</t>
        </is>
      </c>
      <c r="G969" t="inlineStr">
        <is>
          <t>VÄXJÖ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24703-2026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46171</v>
      </c>
      <c r="E970" s="1" t="n">
        <v>46265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46099</v>
      </c>
      <c r="E971" s="1" t="n">
        <v>46265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24701-2026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46171</v>
      </c>
      <c r="E972" s="1" t="n">
        <v>46265</v>
      </c>
      <c r="F972" t="inlineStr">
        <is>
          <t>KRONOBERGS LÄN</t>
        </is>
      </c>
      <c r="G972" t="inlineStr">
        <is>
          <t>VÄXJÖ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24515-2026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46170</v>
      </c>
      <c r="E973" s="1" t="n">
        <v>46265</v>
      </c>
      <c r="F973" t="inlineStr">
        <is>
          <t>KRONOBERGS LÄN</t>
        </is>
      </c>
      <c r="G973" t="inlineStr">
        <is>
          <t>VÄXJÖ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63226-2025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46010</v>
      </c>
      <c r="E974" s="1" t="n">
        <v>46265</v>
      </c>
      <c r="F974" t="inlineStr">
        <is>
          <t>KRONOBERGS LÄN</t>
        </is>
      </c>
      <c r="G974" t="inlineStr">
        <is>
          <t>VÄXJÖ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24607-2026</t>
        </is>
      </c>
      <c r="B975" t="inlineStr">
        <is>
          <t>avverkningsanmälan</t>
        </is>
      </c>
      <c r="C975" t="inlineStr">
        <is>
          <t>Avverkning för att bevara och utveckla /försöksver</t>
        </is>
      </c>
      <c r="D975" s="1" t="n">
        <v>46171</v>
      </c>
      <c r="E975" s="1" t="n">
        <v>46265</v>
      </c>
      <c r="F975" t="inlineStr">
        <is>
          <t>KRONOBERGS LÄN</t>
        </is>
      </c>
      <c r="G975" t="inlineStr">
        <is>
          <t>VÄXJÖ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19609-2026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46265</v>
      </c>
      <c r="F976" t="inlineStr">
        <is>
          <t>KRONOBERGS LÄN</t>
        </is>
      </c>
      <c r="G976" t="inlineStr">
        <is>
          <t>VÄXJÖ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19619-2026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46265</v>
      </c>
      <c r="F977" t="inlineStr">
        <is>
          <t>KRONOBERGS LÄN</t>
        </is>
      </c>
      <c r="G977" t="inlineStr">
        <is>
          <t>VÄXJÖ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19622-2026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46265</v>
      </c>
      <c r="F978" t="inlineStr">
        <is>
          <t>KRONOBERGS LÄN</t>
        </is>
      </c>
      <c r="G978" t="inlineStr">
        <is>
          <t>VÄXJÖ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26428-2026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46183</v>
      </c>
      <c r="E979" s="1" t="n">
        <v>46265</v>
      </c>
      <c r="F979" t="inlineStr">
        <is>
          <t>KRONOBERGS LÄN</t>
        </is>
      </c>
      <c r="G979" t="inlineStr">
        <is>
          <t>VÄXJÖ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24512-2026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46170</v>
      </c>
      <c r="E980" s="1" t="n">
        <v>46265</v>
      </c>
      <c r="F980" t="inlineStr">
        <is>
          <t>KRONOBERGS LÄN</t>
        </is>
      </c>
      <c r="G980" t="inlineStr">
        <is>
          <t>VÄXJÖ</t>
        </is>
      </c>
      <c r="I980" t="n">
        <v>4.7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26492-2026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46265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26371-2026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46183</v>
      </c>
      <c r="E982" s="1" t="n">
        <v>46265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26454-2026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46265</v>
      </c>
      <c r="F983" t="inlineStr">
        <is>
          <t>KRONOBERGS LÄN</t>
        </is>
      </c>
      <c r="G983" t="inlineStr">
        <is>
          <t>VÄXJÖ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26801-2026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46183</v>
      </c>
      <c r="E984" s="1" t="n">
        <v>46265</v>
      </c>
      <c r="F984" t="inlineStr">
        <is>
          <t>KRONOBERGS LÄN</t>
        </is>
      </c>
      <c r="G984" t="inlineStr">
        <is>
          <t>VÄXJÖ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26484-2026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46183</v>
      </c>
      <c r="E985" s="1" t="n">
        <v>46265</v>
      </c>
      <c r="F985" t="inlineStr">
        <is>
          <t>KRONOBERGS LÄN</t>
        </is>
      </c>
      <c r="G985" t="inlineStr">
        <is>
          <t>VÄXJÖ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23520-2026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46163</v>
      </c>
      <c r="E986" s="1" t="n">
        <v>46265</v>
      </c>
      <c r="F986" t="inlineStr">
        <is>
          <t>KRONOBERGS LÄN</t>
        </is>
      </c>
      <c r="G986" t="inlineStr">
        <is>
          <t>VÄXJÖ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27124-2026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46265</v>
      </c>
      <c r="F987" t="inlineStr">
        <is>
          <t>KRONOBERGS LÄN</t>
        </is>
      </c>
      <c r="G987" t="inlineStr">
        <is>
          <t>VÄXJÖ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31979-2026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46232</v>
      </c>
      <c r="E988" s="1" t="n">
        <v>46265</v>
      </c>
      <c r="F988" t="inlineStr">
        <is>
          <t>KRONOBERGS LÄN</t>
        </is>
      </c>
      <c r="G988" t="inlineStr">
        <is>
          <t>VÄXJÖ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46189</v>
      </c>
      <c r="E989" s="1" t="n">
        <v>46265</v>
      </c>
      <c r="F989" t="inlineStr">
        <is>
          <t>KRONOBERGS LÄN</t>
        </is>
      </c>
      <c r="G989" t="inlineStr">
        <is>
          <t>VÄXJÖ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31980-2026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46232</v>
      </c>
      <c r="E990" s="1" t="n">
        <v>46265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27208-2026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46265</v>
      </c>
      <c r="F991" t="inlineStr">
        <is>
          <t>KRONOBERGS LÄN</t>
        </is>
      </c>
      <c r="G991" t="inlineStr">
        <is>
          <t>VÄXJÖ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46265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27758-2026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46265</v>
      </c>
      <c r="F993" t="inlineStr">
        <is>
          <t>KRONOBERGS LÄN</t>
        </is>
      </c>
      <c r="G993" t="inlineStr">
        <is>
          <t>VÄXJÖ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46265</v>
      </c>
      <c r="F994" t="inlineStr">
        <is>
          <t>KRONOBERGS LÄN</t>
        </is>
      </c>
      <c r="G994" t="inlineStr">
        <is>
          <t>VÄXJÖ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27722-2026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46265</v>
      </c>
      <c r="F995" t="inlineStr">
        <is>
          <t>KRONOBERGS LÄN</t>
        </is>
      </c>
      <c r="G995" t="inlineStr">
        <is>
          <t>VÄXJÖ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27755-2026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46265</v>
      </c>
      <c r="F996" t="inlineStr">
        <is>
          <t>KRONOBERGS LÄN</t>
        </is>
      </c>
      <c r="G996" t="inlineStr">
        <is>
          <t>VÄXJÖ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27582-2026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46190</v>
      </c>
      <c r="E997" s="1" t="n">
        <v>46265</v>
      </c>
      <c r="F997" t="inlineStr">
        <is>
          <t>KRONOBERGS LÄN</t>
        </is>
      </c>
      <c r="G997" t="inlineStr">
        <is>
          <t>VÄXJÖ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27750-2026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46191</v>
      </c>
      <c r="E998" s="1" t="n">
        <v>46265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28136-2026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46195</v>
      </c>
      <c r="E999" s="1" t="n">
        <v>46265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16011-2026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46108</v>
      </c>
      <c r="E1000" s="1" t="n">
        <v>46265</v>
      </c>
      <c r="F1000" t="inlineStr">
        <is>
          <t>KRONOBERGS LÄN</t>
        </is>
      </c>
      <c r="G1000" t="inlineStr">
        <is>
          <t>VÄXJÖ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32306-2026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46265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46169-2025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45924</v>
      </c>
      <c r="E1002" s="1" t="n">
        <v>46265</v>
      </c>
      <c r="F1002" t="inlineStr">
        <is>
          <t>KRONOBERGS LÄN</t>
        </is>
      </c>
      <c r="G1002" t="inlineStr">
        <is>
          <t>VÄXJÖ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32180-2026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46265</v>
      </c>
      <c r="F1003" t="inlineStr">
        <is>
          <t>KRONOBERGS LÄN</t>
        </is>
      </c>
      <c r="G1003" t="inlineStr">
        <is>
          <t>VÄXJÖ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32540-2026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46239</v>
      </c>
      <c r="E1004" s="1" t="n">
        <v>46265</v>
      </c>
      <c r="F1004" t="inlineStr">
        <is>
          <t>KRONOBERGS LÄN</t>
        </is>
      </c>
      <c r="G1004" t="inlineStr">
        <is>
          <t>VÄXJÖ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29000-2026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46199</v>
      </c>
      <c r="E1005" s="1" t="n">
        <v>46265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33002-2026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46265</v>
      </c>
      <c r="F1006" t="inlineStr">
        <is>
          <t>KRONOBERGS LÄN</t>
        </is>
      </c>
      <c r="G1006" t="inlineStr">
        <is>
          <t>VÄXJÖ</t>
        </is>
      </c>
      <c r="H1006" t="inlineStr">
        <is>
          <t>Kyrkan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28914-2026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46199</v>
      </c>
      <c r="E1007" s="1" t="n">
        <v>46265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28754-2026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46265</v>
      </c>
      <c r="F1008" t="inlineStr">
        <is>
          <t>KRONOBERGS LÄN</t>
        </is>
      </c>
      <c r="G1008" t="inlineStr">
        <is>
          <t>VÄXJÖ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28758-2026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46198</v>
      </c>
      <c r="E1009" s="1" t="n">
        <v>46265</v>
      </c>
      <c r="F1009" t="inlineStr">
        <is>
          <t>KRONOBERGS LÄN</t>
        </is>
      </c>
      <c r="G1009" t="inlineStr">
        <is>
          <t>VÄXJÖ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32940-2026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46244</v>
      </c>
      <c r="E1010" s="1" t="n">
        <v>46265</v>
      </c>
      <c r="F1010" t="inlineStr">
        <is>
          <t>KRONOBERGS LÄN</t>
        </is>
      </c>
      <c r="G1010" t="inlineStr">
        <is>
          <t>VÄXJÖ</t>
        </is>
      </c>
      <c r="I1010" t="n">
        <v>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33005-2026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46244</v>
      </c>
      <c r="E1011" s="1" t="n">
        <v>46265</v>
      </c>
      <c r="F1011" t="inlineStr">
        <is>
          <t>KRONOBERGS LÄN</t>
        </is>
      </c>
      <c r="G1011" t="inlineStr">
        <is>
          <t>VÄXJÖ</t>
        </is>
      </c>
      <c r="H1011" t="inlineStr">
        <is>
          <t>Kyrkan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33015-2026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46244</v>
      </c>
      <c r="E1012" s="1" t="n">
        <v>46265</v>
      </c>
      <c r="F1012" t="inlineStr">
        <is>
          <t>KRONOBERGS LÄN</t>
        </is>
      </c>
      <c r="G1012" t="inlineStr">
        <is>
          <t>VÄXJÖ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28761-2026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46198</v>
      </c>
      <c r="E1013" s="1" t="n">
        <v>46265</v>
      </c>
      <c r="F1013" t="inlineStr">
        <is>
          <t>KRONOBERGS LÄN</t>
        </is>
      </c>
      <c r="G1013" t="inlineStr">
        <is>
          <t>VÄXJÖ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28778-2026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46198</v>
      </c>
      <c r="E1014" s="1" t="n">
        <v>46265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37694-2024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45541</v>
      </c>
      <c r="E1015" s="1" t="n">
        <v>46265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29075-2026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46199</v>
      </c>
      <c r="E1016" s="1" t="n">
        <v>46265</v>
      </c>
      <c r="F1016" t="inlineStr">
        <is>
          <t>KRONOBERGS LÄN</t>
        </is>
      </c>
      <c r="G1016" t="inlineStr">
        <is>
          <t>VÄXJÖ</t>
        </is>
      </c>
      <c r="I1016" t="n">
        <v>4.7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29076-2026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46199</v>
      </c>
      <c r="E1017" s="1" t="n">
        <v>46265</v>
      </c>
      <c r="F1017" t="inlineStr">
        <is>
          <t>KRONOBERGS LÄN</t>
        </is>
      </c>
      <c r="G1017" t="inlineStr">
        <is>
          <t>VÄXJÖ</t>
        </is>
      </c>
      <c r="I1017" t="n">
        <v>10.8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33123-2026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46265</v>
      </c>
      <c r="F1018" t="inlineStr">
        <is>
          <t>KRONOBERGS LÄN</t>
        </is>
      </c>
      <c r="G1018" t="inlineStr">
        <is>
          <t>VÄXJÖ</t>
        </is>
      </c>
      <c r="H1018" t="inlineStr">
        <is>
          <t>Kyrkan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33238-2026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46246</v>
      </c>
      <c r="E1019" s="1" t="n">
        <v>46265</v>
      </c>
      <c r="F1019" t="inlineStr">
        <is>
          <t>KRONOBERGS LÄN</t>
        </is>
      </c>
      <c r="G1019" t="inlineStr">
        <is>
          <t>VÄXJÖ</t>
        </is>
      </c>
      <c r="H1019" t="inlineStr">
        <is>
          <t>Övriga Aktiebolag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33084-2026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46244</v>
      </c>
      <c r="E1020" s="1" t="n">
        <v>46265</v>
      </c>
      <c r="F1020" t="inlineStr">
        <is>
          <t>KRONOBERGS LÄN</t>
        </is>
      </c>
      <c r="G1020" t="inlineStr">
        <is>
          <t>VÄXJÖ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33129-2026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46245</v>
      </c>
      <c r="E1021" s="1" t="n">
        <v>46265</v>
      </c>
      <c r="F1021" t="inlineStr">
        <is>
          <t>KRONOBERGS LÄN</t>
        </is>
      </c>
      <c r="G1021" t="inlineStr">
        <is>
          <t>VÄXJÖ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46265</v>
      </c>
      <c r="F1022" t="inlineStr">
        <is>
          <t>KRONOBERGS LÄN</t>
        </is>
      </c>
      <c r="G1022" t="inlineStr">
        <is>
          <t>VÄXJÖ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33128-2026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46244</v>
      </c>
      <c r="E1023" s="1" t="n">
        <v>46265</v>
      </c>
      <c r="F1023" t="inlineStr">
        <is>
          <t>KRONOBERGS LÄN</t>
        </is>
      </c>
      <c r="G1023" t="inlineStr">
        <is>
          <t>VÄXJÖ</t>
        </is>
      </c>
      <c r="H1023" t="inlineStr">
        <is>
          <t>Kyrkan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33121-2026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46244</v>
      </c>
      <c r="E1024" s="1" t="n">
        <v>46265</v>
      </c>
      <c r="F1024" t="inlineStr">
        <is>
          <t>KRONOBERGS LÄN</t>
        </is>
      </c>
      <c r="G1024" t="inlineStr">
        <is>
          <t>VÄXJÖ</t>
        </is>
      </c>
      <c r="H1024" t="inlineStr">
        <is>
          <t>Kyrkan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33093-2026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46245</v>
      </c>
      <c r="E1025" s="1" t="n">
        <v>46265</v>
      </c>
      <c r="F1025" t="inlineStr">
        <is>
          <t>KRONOBERGS LÄN</t>
        </is>
      </c>
      <c r="G1025" t="inlineStr">
        <is>
          <t>VÄXJÖ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46265</v>
      </c>
      <c r="F1026" t="inlineStr">
        <is>
          <t>KRONOBERGS LÄN</t>
        </is>
      </c>
      <c r="G1026" t="inlineStr">
        <is>
          <t>VÄXJÖ</t>
        </is>
      </c>
      <c r="H1026" t="inlineStr">
        <is>
          <t>Kyrkan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46205</v>
      </c>
      <c r="E1027" s="1" t="n">
        <v>46265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29965-2026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46205</v>
      </c>
      <c r="E1028" s="1" t="n">
        <v>46265</v>
      </c>
      <c r="F1028" t="inlineStr">
        <is>
          <t>KRONOBERGS LÄN</t>
        </is>
      </c>
      <c r="G1028" t="inlineStr">
        <is>
          <t>VÄXJÖ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33959-2026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46252</v>
      </c>
      <c r="E1029" s="1" t="n">
        <v>46265</v>
      </c>
      <c r="F1029" t="inlineStr">
        <is>
          <t>KRONOBERGS LÄN</t>
        </is>
      </c>
      <c r="G1029" t="inlineStr">
        <is>
          <t>VÄXJÖ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30015-2026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46265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33962-2026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46252</v>
      </c>
      <c r="E1031" s="1" t="n">
        <v>46265</v>
      </c>
      <c r="F1031" t="inlineStr">
        <is>
          <t>KRONOBERGS LÄN</t>
        </is>
      </c>
      <c r="G1031" t="inlineStr">
        <is>
          <t>VÄXJÖ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30557-2026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46210</v>
      </c>
      <c r="E1032" s="1" t="n">
        <v>46265</v>
      </c>
      <c r="F1032" t="inlineStr">
        <is>
          <t>KRONOBERGS LÄN</t>
        </is>
      </c>
      <c r="G1032" t="inlineStr">
        <is>
          <t>VÄXJÖ</t>
        </is>
      </c>
      <c r="H1032" t="inlineStr">
        <is>
          <t>Övriga Aktiebolag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34202-2026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46253</v>
      </c>
      <c r="E1033" s="1" t="n">
        <v>46265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30547-2026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46210</v>
      </c>
      <c r="E1034" s="1" t="n">
        <v>46265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34754-2026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46258</v>
      </c>
      <c r="E1035" s="1" t="n">
        <v>46265</v>
      </c>
      <c r="F1035" t="inlineStr">
        <is>
          <t>KRONOBERGS LÄN</t>
        </is>
      </c>
      <c r="G1035" t="inlineStr">
        <is>
          <t>VÄXJÖ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35152-2026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46260</v>
      </c>
      <c r="E1036" s="1" t="n">
        <v>46265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33050-2026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46245</v>
      </c>
      <c r="E1037" s="1" t="n">
        <v>46265</v>
      </c>
      <c r="F1037" t="inlineStr">
        <is>
          <t>KRONOBERGS LÄN</t>
        </is>
      </c>
      <c r="G1037" t="inlineStr">
        <is>
          <t>VÄXJÖ</t>
        </is>
      </c>
      <c r="I1037" t="n">
        <v>7.4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24464-2026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46170</v>
      </c>
      <c r="E1038" s="1" t="n">
        <v>46265</v>
      </c>
      <c r="F1038" t="inlineStr">
        <is>
          <t>KRONOBERGS LÄN</t>
        </is>
      </c>
      <c r="G1038" t="inlineStr">
        <is>
          <t>VÄXJÖ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35389-2026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46261</v>
      </c>
      <c r="E1039" s="1" t="n">
        <v>46265</v>
      </c>
      <c r="F1039" t="inlineStr">
        <is>
          <t>KRONOBERGS LÄN</t>
        </is>
      </c>
      <c r="G1039" t="inlineStr">
        <is>
          <t>VÄXJÖ</t>
        </is>
      </c>
      <c r="I1039" t="n">
        <v>2.6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35536-2026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46262</v>
      </c>
      <c r="E1040" s="1" t="n">
        <v>46265</v>
      </c>
      <c r="F1040" t="inlineStr">
        <is>
          <t>KRONOBERGS LÄN</t>
        </is>
      </c>
      <c r="G1040" t="inlineStr">
        <is>
          <t>VÄXJÖ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3047-2022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44715</v>
      </c>
      <c r="E1041" s="1" t="n">
        <v>46265</v>
      </c>
      <c r="F1041" t="inlineStr">
        <is>
          <t>KRONOBERGS LÄN</t>
        </is>
      </c>
      <c r="G1041" t="inlineStr">
        <is>
          <t>VÄXJÖ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46265</v>
      </c>
      <c r="F1042" t="inlineStr">
        <is>
          <t>KRONOBERGS LÄN</t>
        </is>
      </c>
      <c r="G1042" t="inlineStr">
        <is>
          <t>VÄXJÖ</t>
        </is>
      </c>
      <c r="I1042" t="n">
        <v>40.2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46265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46265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46265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802-2022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44603</v>
      </c>
      <c r="E1046" s="1" t="n">
        <v>46265</v>
      </c>
      <c r="F1046" t="inlineStr">
        <is>
          <t>KRONOBERGS LÄN</t>
        </is>
      </c>
      <c r="G1046" t="inlineStr">
        <is>
          <t>VÄXJÖ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2488-2022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44693</v>
      </c>
      <c r="E1047" s="1" t="n">
        <v>46265</v>
      </c>
      <c r="F1047" t="inlineStr">
        <is>
          <t>KRONOBERGS LÄN</t>
        </is>
      </c>
      <c r="G1047" t="inlineStr">
        <is>
          <t>VÄXJÖ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3275-2022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44726</v>
      </c>
      <c r="E1048" s="1" t="n">
        <v>46265</v>
      </c>
      <c r="F1048" t="inlineStr">
        <is>
          <t>KRONOBERGS LÄN</t>
        </is>
      </c>
      <c r="G1048" t="inlineStr">
        <is>
          <t>VÄXJÖ</t>
        </is>
      </c>
      <c r="I1048" t="n">
        <v>12.2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2937-2022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44712</v>
      </c>
      <c r="E1049" s="1" t="n">
        <v>46265</v>
      </c>
      <c r="F1049" t="inlineStr">
        <is>
          <t>KRONOBERGS LÄN</t>
        </is>
      </c>
      <c r="G1049" t="inlineStr">
        <is>
          <t>VÄXJÖ</t>
        </is>
      </c>
      <c r="I1049" t="n">
        <v>19.3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3229-2022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46265</v>
      </c>
      <c r="F1050" t="inlineStr">
        <is>
          <t>KRONOBERGS LÄN</t>
        </is>
      </c>
      <c r="G1050" t="inlineStr">
        <is>
          <t>VÄXJÖ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46265</v>
      </c>
      <c r="F1051" t="inlineStr">
        <is>
          <t>KRONOBERGS LÄN</t>
        </is>
      </c>
      <c r="G1051" t="inlineStr">
        <is>
          <t>VÄXJÖ</t>
        </is>
      </c>
      <c r="I1051" t="n">
        <v>33.3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2714-2022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46265</v>
      </c>
      <c r="F1052" t="inlineStr">
        <is>
          <t>KRONOBERGS LÄN</t>
        </is>
      </c>
      <c r="G1052" t="inlineStr">
        <is>
          <t>VÄXJÖ</t>
        </is>
      </c>
      <c r="I1052" t="n">
        <v>16.9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701-2022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44596</v>
      </c>
      <c r="E1053" s="1" t="n">
        <v>46265</v>
      </c>
      <c r="F1053" t="inlineStr">
        <is>
          <t>KRONOBERGS LÄN</t>
        </is>
      </c>
      <c r="G1053" t="inlineStr">
        <is>
          <t>VÄXJÖ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46265</v>
      </c>
      <c r="F1054" t="inlineStr">
        <is>
          <t>KRONOBERGS LÄN</t>
        </is>
      </c>
      <c r="G1054" t="inlineStr">
        <is>
          <t>VÄXJÖ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46265</v>
      </c>
      <c r="F1055" t="inlineStr">
        <is>
          <t>KRONOBERGS LÄN</t>
        </is>
      </c>
      <c r="G1055" t="inlineStr">
        <is>
          <t>VÄXJÖ</t>
        </is>
      </c>
      <c r="I1055" t="n">
        <v>20.4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6077-2021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44442</v>
      </c>
      <c r="E1056" s="1" t="n">
        <v>46265</v>
      </c>
      <c r="F1056" t="inlineStr">
        <is>
          <t>KRONOBERGS LÄN</t>
        </is>
      </c>
      <c r="G1056" t="inlineStr">
        <is>
          <t>VÄXJÖ</t>
        </is>
      </c>
      <c r="I1056" t="n">
        <v>13.1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46265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46265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46265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46265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46265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46265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46265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46265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46265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46265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46265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46265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46265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46265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46265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46265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46265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46265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46265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46265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46265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46265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46265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46265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46265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46265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46265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46265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46265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46265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46265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46265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46265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46265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46265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46265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46265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46265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46265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46265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46265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46265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46265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46265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46265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46265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46265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46265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46265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46265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46265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46265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46265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46265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46265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2026-08-31T09:59:10Z</dcterms:created>
  <dcterms:modified xmlns:dcterms="http://purl.org/dc/terms/" xmlns:xsi="http://www.w3.org/2001/XMLSchema-instance" xsi:type="dcterms:W3CDTF">2026-08-31T09:59:11Z</dcterms:modified>
</cp:coreProperties>
</file>